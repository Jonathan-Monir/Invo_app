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5480" windowHeight="10920"/>
  </bookViews>
  <sheets>
    <sheet name="statment" sheetId="6" r:id="rId1"/>
    <sheet name="contract" sheetId="7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statment!$B$1:$I$4</definedName>
  </definedNames>
  <calcPr calcId="124519"/>
</workbook>
</file>

<file path=xl/calcChain.xml><?xml version="1.0" encoding="utf-8"?>
<calcChain xmlns="http://schemas.openxmlformats.org/spreadsheetml/2006/main">
  <c r="G37" i="6"/>
  <c r="I36"/>
  <c r="G36"/>
  <c r="I35"/>
  <c r="G35"/>
  <c r="I34"/>
  <c r="G34"/>
  <c r="I33"/>
  <c r="G33"/>
  <c r="I32"/>
  <c r="G32"/>
  <c r="G31"/>
  <c r="I31" s="1"/>
  <c r="I30"/>
  <c r="H30"/>
  <c r="G30"/>
  <c r="I29"/>
  <c r="G29"/>
  <c r="H28"/>
  <c r="G28"/>
  <c r="I28" s="1"/>
  <c r="I27"/>
  <c r="G27"/>
  <c r="G26"/>
  <c r="I26" s="1"/>
  <c r="I25"/>
  <c r="G25"/>
  <c r="G24"/>
  <c r="I24" s="1"/>
  <c r="I23"/>
  <c r="G23"/>
  <c r="G22"/>
  <c r="I22" s="1"/>
  <c r="I21"/>
  <c r="G21"/>
  <c r="G20"/>
  <c r="I20" s="1"/>
  <c r="I19"/>
  <c r="G19"/>
  <c r="I18"/>
  <c r="G18"/>
  <c r="I17"/>
  <c r="G17"/>
  <c r="I16"/>
  <c r="G16"/>
  <c r="I15"/>
  <c r="G15"/>
  <c r="I14"/>
  <c r="G14"/>
  <c r="I13"/>
  <c r="G13"/>
  <c r="I12"/>
  <c r="G12"/>
  <c r="I11"/>
  <c r="G11"/>
  <c r="G10"/>
  <c r="I10" s="1"/>
  <c r="I9"/>
  <c r="G9"/>
  <c r="G8"/>
  <c r="I8" s="1"/>
  <c r="I7"/>
  <c r="G7"/>
  <c r="G6"/>
  <c r="I6" s="1"/>
  <c r="I5"/>
  <c r="G5"/>
  <c r="G4"/>
  <c r="I4" s="1"/>
  <c r="I3"/>
  <c r="G3"/>
  <c r="G2"/>
  <c r="I2" s="1"/>
  <c r="V3" i="7" l="1"/>
  <c r="V4"/>
  <c r="V5"/>
  <c r="V6"/>
  <c r="V7"/>
  <c r="V8"/>
  <c r="V9"/>
  <c r="V10"/>
  <c r="V11"/>
  <c r="V12"/>
  <c r="V13"/>
  <c r="V2"/>
  <c r="N13" l="1"/>
  <c r="H13" s="1"/>
  <c r="N9"/>
  <c r="H10"/>
  <c r="N8"/>
  <c r="H8" s="1"/>
  <c r="N7"/>
  <c r="H7" s="1"/>
  <c r="N6"/>
  <c r="H6" s="1"/>
  <c r="M13"/>
  <c r="M12"/>
  <c r="G12" s="1"/>
  <c r="M10"/>
  <c r="M9"/>
  <c r="G9" s="1"/>
  <c r="M8"/>
  <c r="G8" s="1"/>
  <c r="M7"/>
  <c r="G7" s="1"/>
  <c r="M6"/>
  <c r="L13"/>
  <c r="T13" s="1"/>
  <c r="L12"/>
  <c r="F12" s="1"/>
  <c r="L11"/>
  <c r="F11" s="1"/>
  <c r="L10"/>
  <c r="L9"/>
  <c r="F9" s="1"/>
  <c r="L8"/>
  <c r="T8" s="1"/>
  <c r="L7"/>
  <c r="L6"/>
  <c r="K13"/>
  <c r="U13" s="1"/>
  <c r="K12"/>
  <c r="U12" s="1"/>
  <c r="K11"/>
  <c r="U11" s="1"/>
  <c r="K10"/>
  <c r="K9"/>
  <c r="E9" s="1"/>
  <c r="K8"/>
  <c r="K7"/>
  <c r="E7" s="1"/>
  <c r="K6"/>
  <c r="J13"/>
  <c r="D13" s="1"/>
  <c r="R13" s="1"/>
  <c r="J12"/>
  <c r="O12" s="1"/>
  <c r="J10"/>
  <c r="S10" s="1"/>
  <c r="J9"/>
  <c r="S9" s="1"/>
  <c r="J8"/>
  <c r="D8" s="1"/>
  <c r="R8" s="1"/>
  <c r="J7"/>
  <c r="S7" s="1"/>
  <c r="J6"/>
  <c r="O6" s="1"/>
  <c r="I13"/>
  <c r="P13" s="1"/>
  <c r="I8"/>
  <c r="I7"/>
  <c r="I6"/>
  <c r="O13"/>
  <c r="G13"/>
  <c r="C13"/>
  <c r="C12"/>
  <c r="H12"/>
  <c r="E12"/>
  <c r="O11"/>
  <c r="H11"/>
  <c r="D11"/>
  <c r="R11" s="1"/>
  <c r="P11"/>
  <c r="G11"/>
  <c r="C11"/>
  <c r="U10"/>
  <c r="O10"/>
  <c r="G10"/>
  <c r="F10"/>
  <c r="C10"/>
  <c r="E10"/>
  <c r="H9"/>
  <c r="P9"/>
  <c r="C9"/>
  <c r="U8"/>
  <c r="P8"/>
  <c r="C8"/>
  <c r="E8"/>
  <c r="T7"/>
  <c r="P7"/>
  <c r="F7"/>
  <c r="C7"/>
  <c r="U6"/>
  <c r="P6"/>
  <c r="G6"/>
  <c r="T6"/>
  <c r="C6"/>
  <c r="E6"/>
  <c r="F13" l="1"/>
  <c r="T11"/>
  <c r="T9"/>
  <c r="D12"/>
  <c r="R12" s="1"/>
  <c r="S12"/>
  <c r="D10"/>
  <c r="R10" s="1"/>
  <c r="O8"/>
  <c r="D6"/>
  <c r="R6" s="1"/>
  <c r="P10"/>
  <c r="S11"/>
  <c r="P12"/>
  <c r="S13"/>
  <c r="T10"/>
  <c r="E11"/>
  <c r="T12"/>
  <c r="E13"/>
  <c r="F6"/>
  <c r="S6"/>
  <c r="D7"/>
  <c r="R7" s="1"/>
  <c r="U7"/>
  <c r="F8"/>
  <c r="S8"/>
  <c r="D9"/>
  <c r="R9" s="1"/>
  <c r="U9"/>
  <c r="O7"/>
  <c r="O9"/>
  <c r="N5"/>
  <c r="H5" s="1"/>
  <c r="M5"/>
  <c r="L5"/>
  <c r="F5" s="1"/>
  <c r="K5"/>
  <c r="E5" s="1"/>
  <c r="J5"/>
  <c r="S5" s="1"/>
  <c r="I5"/>
  <c r="P5" s="1"/>
  <c r="N4"/>
  <c r="H4" s="1"/>
  <c r="M4"/>
  <c r="G4" s="1"/>
  <c r="L4"/>
  <c r="F4" s="1"/>
  <c r="K4"/>
  <c r="U4" s="1"/>
  <c r="J4"/>
  <c r="O4" s="1"/>
  <c r="I4"/>
  <c r="C4" s="1"/>
  <c r="O5"/>
  <c r="G5"/>
  <c r="D5"/>
  <c r="R5" s="1"/>
  <c r="C5" l="1"/>
  <c r="T4"/>
  <c r="E4"/>
  <c r="S4"/>
  <c r="U5"/>
  <c r="T5"/>
  <c r="D4"/>
  <c r="R4" s="1"/>
  <c r="P4"/>
  <c r="N3"/>
  <c r="M3"/>
  <c r="G3" s="1"/>
  <c r="L3"/>
  <c r="F3" s="1"/>
  <c r="K3"/>
  <c r="U3" s="1"/>
  <c r="J3"/>
  <c r="O3" s="1"/>
  <c r="I3"/>
  <c r="C3" s="1"/>
  <c r="T3"/>
  <c r="H3"/>
  <c r="D3"/>
  <c r="R3" s="1"/>
  <c r="P3"/>
  <c r="S3" l="1"/>
  <c r="E3"/>
  <c r="N2" l="1"/>
  <c r="H2" s="1"/>
  <c r="M2"/>
  <c r="G2" s="1"/>
  <c r="L2"/>
  <c r="F2" s="1"/>
  <c r="K2"/>
  <c r="U2" s="1"/>
  <c r="J2"/>
  <c r="O2" s="1"/>
  <c r="I2"/>
  <c r="P2" s="1"/>
  <c r="T2"/>
  <c r="E2" l="1"/>
  <c r="C2"/>
  <c r="S2"/>
  <c r="D2"/>
  <c r="R2" s="1"/>
</calcChain>
</file>

<file path=xl/sharedStrings.xml><?xml version="1.0" encoding="utf-8"?>
<sst xmlns="http://schemas.openxmlformats.org/spreadsheetml/2006/main" count="116" uniqueCount="70">
  <si>
    <t>Night</t>
  </si>
  <si>
    <t>Rate Euro.</t>
  </si>
  <si>
    <t>Arrival</t>
  </si>
  <si>
    <t>Departure</t>
  </si>
  <si>
    <t>Rate code</t>
  </si>
  <si>
    <t>Amount-hotel</t>
  </si>
  <si>
    <t>first date</t>
  </si>
  <si>
    <t>second date</t>
  </si>
  <si>
    <t>Reservation No.</t>
  </si>
  <si>
    <t>Folio</t>
  </si>
  <si>
    <t>SGL-COM</t>
  </si>
  <si>
    <t>SGL-JS</t>
  </si>
  <si>
    <t>SGL-SV</t>
  </si>
  <si>
    <t>SGL-PA</t>
  </si>
  <si>
    <t>SGL-SU</t>
  </si>
  <si>
    <t>SGL-V</t>
  </si>
  <si>
    <t>DBL-COM</t>
  </si>
  <si>
    <t>DBL-JS</t>
  </si>
  <si>
    <t>DBL-SV</t>
  </si>
  <si>
    <t>DBL-PA</t>
  </si>
  <si>
    <t>DBL-V</t>
  </si>
  <si>
    <t>TPL-JS</t>
  </si>
  <si>
    <t>DBL-VILLA</t>
  </si>
  <si>
    <t>DBL-COM 50%</t>
  </si>
  <si>
    <t>SGL-JS 50%</t>
  </si>
  <si>
    <t>DBL-JS 50%</t>
  </si>
  <si>
    <t>DBL-PA 50%</t>
  </si>
  <si>
    <t>DBL-SV 50%</t>
  </si>
  <si>
    <t>92-84</t>
  </si>
  <si>
    <t>DBL-SUIT</t>
  </si>
  <si>
    <t>SGL-PA 50%</t>
  </si>
  <si>
    <t>84-92</t>
  </si>
  <si>
    <t>124-130</t>
  </si>
  <si>
    <t>98-104</t>
  </si>
  <si>
    <t>72-78</t>
  </si>
  <si>
    <t>104-92</t>
  </si>
  <si>
    <t>92-78</t>
  </si>
  <si>
    <t>130-118</t>
  </si>
  <si>
    <t>E050880</t>
  </si>
  <si>
    <t>E048753</t>
  </si>
  <si>
    <t>E047314</t>
  </si>
  <si>
    <t>E048747</t>
  </si>
  <si>
    <t>E049016</t>
  </si>
  <si>
    <t>E049173</t>
  </si>
  <si>
    <t>E051586</t>
  </si>
  <si>
    <t>E050417</t>
  </si>
  <si>
    <t>E050707</t>
  </si>
  <si>
    <t>E052991</t>
  </si>
  <si>
    <t>E048156</t>
  </si>
  <si>
    <t>E048421</t>
  </si>
  <si>
    <t>E053019</t>
  </si>
  <si>
    <t>E053157</t>
  </si>
  <si>
    <t>E052590</t>
  </si>
  <si>
    <t>E051978</t>
  </si>
  <si>
    <t>E047918</t>
  </si>
  <si>
    <t>E049072</t>
  </si>
  <si>
    <t>E049073</t>
  </si>
  <si>
    <t>E050763</t>
  </si>
  <si>
    <t>E052786</t>
  </si>
  <si>
    <t>E052867</t>
  </si>
  <si>
    <t>E052869</t>
  </si>
  <si>
    <t>E052943</t>
  </si>
  <si>
    <t>E048762</t>
  </si>
  <si>
    <t>E048875</t>
  </si>
  <si>
    <t>E050253</t>
  </si>
  <si>
    <t>E049493</t>
  </si>
  <si>
    <t>E048775</t>
  </si>
  <si>
    <t>E049643</t>
  </si>
  <si>
    <t>E051463</t>
  </si>
  <si>
    <t>E052060</t>
  </si>
</sst>
</file>

<file path=xl/styles.xml><?xml version="1.0" encoding="utf-8"?>
<styleSheet xmlns="http://schemas.openxmlformats.org/spreadsheetml/2006/main">
  <numFmts count="2">
    <numFmt numFmtId="164" formatCode="_-* #,##0.00_-;_-* #,##0.00\-;_-* &quot;-&quot;??_-;_-@_-"/>
    <numFmt numFmtId="165" formatCode="dd/mm/yyyy;@"/>
  </numFmts>
  <fonts count="11">
    <font>
      <sz val="10"/>
      <name val="Arial"/>
      <charset val="178"/>
    </font>
    <font>
      <sz val="10"/>
      <name val="Arial"/>
      <family val="2"/>
    </font>
    <font>
      <sz val="8"/>
      <color indexed="8"/>
      <name val="MS Sans Serif"/>
      <family val="2"/>
      <charset val="178"/>
    </font>
    <font>
      <b/>
      <sz val="14"/>
      <color indexed="18"/>
      <name val="Times New Roman"/>
      <family val="1"/>
    </font>
    <font>
      <sz val="10"/>
      <name val="Arial"/>
      <family val="2"/>
    </font>
    <font>
      <sz val="8"/>
      <name val="MS Sans Serif"/>
      <family val="2"/>
      <charset val="178"/>
    </font>
    <font>
      <sz val="11"/>
      <color indexed="8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5" tint="0.59999389629810485"/>
        <bgColor rgb="FF92D050"/>
      </patternFill>
    </fill>
    <fill>
      <patternFill patternType="solid">
        <fgColor theme="7" tint="0.59999389629810485"/>
        <bgColor rgb="FF92D050"/>
      </patternFill>
    </fill>
    <fill>
      <patternFill patternType="solid">
        <fgColor theme="7" tint="0.59999389629810485"/>
        <bgColor rgb="FF00B0F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rgb="FF00B0F0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</borders>
  <cellStyleXfs count="41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41">
    <xf numFmtId="0" fontId="0" fillId="0" borderId="0" xfId="0"/>
    <xf numFmtId="0" fontId="0" fillId="2" borderId="0" xfId="0" applyFill="1" applyAlignment="1">
      <alignment vertical="center"/>
    </xf>
    <xf numFmtId="0" fontId="2" fillId="2" borderId="0" xfId="7" applyNumberFormat="1" applyFont="1" applyFill="1" applyAlignment="1"/>
    <xf numFmtId="0" fontId="5" fillId="2" borderId="0" xfId="5" applyFont="1" applyFill="1" applyAlignment="1"/>
    <xf numFmtId="0" fontId="8" fillId="0" borderId="0" xfId="0" applyNumberFormat="1" applyFont="1" applyBorder="1" applyAlignment="1">
      <alignment horizontal="center"/>
    </xf>
    <xf numFmtId="0" fontId="8" fillId="0" borderId="3" xfId="0" applyNumberFormat="1" applyFont="1" applyBorder="1" applyAlignment="1">
      <alignment horizontal="center" vertical="center"/>
    </xf>
    <xf numFmtId="14" fontId="8" fillId="0" borderId="4" xfId="0" applyNumberFormat="1" applyFont="1" applyBorder="1"/>
    <xf numFmtId="0" fontId="8" fillId="3" borderId="3" xfId="0" applyNumberFormat="1" applyFont="1" applyFill="1" applyBorder="1" applyAlignment="1">
      <alignment horizontal="center"/>
    </xf>
    <xf numFmtId="0" fontId="8" fillId="4" borderId="3" xfId="0" applyNumberFormat="1" applyFont="1" applyFill="1" applyBorder="1" applyAlignment="1">
      <alignment horizontal="center"/>
    </xf>
    <xf numFmtId="0" fontId="8" fillId="5" borderId="3" xfId="0" applyNumberFormat="1" applyFont="1" applyFill="1" applyBorder="1" applyAlignment="1">
      <alignment horizontal="center"/>
    </xf>
    <xf numFmtId="0" fontId="8" fillId="6" borderId="3" xfId="0" applyNumberFormat="1" applyFont="1" applyFill="1" applyBorder="1" applyAlignment="1">
      <alignment horizontal="center"/>
    </xf>
    <xf numFmtId="0" fontId="8" fillId="5" borderId="4" xfId="0" applyNumberFormat="1" applyFont="1" applyFill="1" applyBorder="1" applyAlignment="1">
      <alignment horizontal="center"/>
    </xf>
    <xf numFmtId="0" fontId="8" fillId="6" borderId="4" xfId="0" applyNumberFormat="1" applyFont="1" applyFill="1" applyBorder="1" applyAlignment="1">
      <alignment horizontal="center"/>
    </xf>
    <xf numFmtId="14" fontId="9" fillId="0" borderId="2" xfId="0" applyNumberFormat="1" applyFont="1" applyFill="1" applyBorder="1" applyAlignment="1">
      <alignment horizontal="center"/>
    </xf>
    <xf numFmtId="0" fontId="0" fillId="7" borderId="0" xfId="0" applyNumberFormat="1" applyFont="1" applyFill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1" fillId="0" borderId="3" xfId="0" applyNumberFormat="1" applyFont="1" applyBorder="1" applyAlignment="1"/>
    <xf numFmtId="0" fontId="8" fillId="3" borderId="4" xfId="0" applyNumberFormat="1" applyFont="1" applyFill="1" applyBorder="1" applyAlignment="1">
      <alignment horizontal="center"/>
    </xf>
    <xf numFmtId="0" fontId="8" fillId="4" borderId="4" xfId="0" applyNumberFormat="1" applyFont="1" applyFill="1" applyBorder="1" applyAlignment="1">
      <alignment horizontal="center"/>
    </xf>
    <xf numFmtId="14" fontId="9" fillId="8" borderId="2" xfId="0" applyNumberFormat="1" applyFont="1" applyFill="1" applyBorder="1" applyAlignment="1">
      <alignment horizontal="center"/>
    </xf>
    <xf numFmtId="0" fontId="10" fillId="9" borderId="1" xfId="0" applyNumberFormat="1" applyFont="1" applyFill="1" applyBorder="1" applyAlignment="1">
      <alignment horizontal="center"/>
    </xf>
    <xf numFmtId="14" fontId="9" fillId="10" borderId="2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14" fontId="9" fillId="12" borderId="2" xfId="0" applyNumberFormat="1" applyFont="1" applyFill="1" applyBorder="1" applyAlignment="1">
      <alignment horizontal="center"/>
    </xf>
    <xf numFmtId="14" fontId="9" fillId="12" borderId="6" xfId="0" applyNumberFormat="1" applyFont="1" applyFill="1" applyBorder="1" applyAlignment="1">
      <alignment horizontal="center"/>
    </xf>
    <xf numFmtId="1" fontId="9" fillId="12" borderId="7" xfId="0" applyNumberFormat="1" applyFont="1" applyFill="1" applyBorder="1" applyAlignment="1">
      <alignment horizontal="center"/>
    </xf>
    <xf numFmtId="165" fontId="6" fillId="12" borderId="7" xfId="0" applyNumberFormat="1" applyFont="1" applyFill="1" applyBorder="1" applyAlignment="1">
      <alignment horizontal="center"/>
    </xf>
    <xf numFmtId="3" fontId="9" fillId="0" borderId="7" xfId="1" applyNumberFormat="1" applyFont="1" applyFill="1" applyBorder="1" applyAlignment="1">
      <alignment horizontal="center"/>
    </xf>
    <xf numFmtId="164" fontId="9" fillId="0" borderId="3" xfId="1" applyFont="1" applyFill="1" applyBorder="1" applyAlignment="1">
      <alignment horizontal="right"/>
    </xf>
    <xf numFmtId="164" fontId="9" fillId="0" borderId="3" xfId="0" applyNumberFormat="1" applyFont="1" applyFill="1" applyBorder="1" applyAlignment="1">
      <alignment horizontal="center" vertical="center"/>
    </xf>
    <xf numFmtId="1" fontId="9" fillId="12" borderId="4" xfId="0" applyNumberFormat="1" applyFont="1" applyFill="1" applyBorder="1" applyAlignment="1">
      <alignment horizontal="center"/>
    </xf>
    <xf numFmtId="0" fontId="9" fillId="12" borderId="4" xfId="0" applyNumberFormat="1" applyFont="1" applyFill="1" applyBorder="1" applyAlignment="1">
      <alignment horizontal="center"/>
    </xf>
    <xf numFmtId="165" fontId="6" fillId="12" borderId="4" xfId="0" applyNumberFormat="1" applyFont="1" applyFill="1" applyBorder="1" applyAlignment="1">
      <alignment horizontal="center"/>
    </xf>
    <xf numFmtId="3" fontId="9" fillId="0" borderId="4" xfId="1" applyNumberFormat="1" applyFont="1" applyFill="1" applyBorder="1" applyAlignment="1">
      <alignment horizontal="center"/>
    </xf>
    <xf numFmtId="164" fontId="9" fillId="0" borderId="4" xfId="1" applyFont="1" applyFill="1" applyBorder="1" applyAlignment="1">
      <alignment horizontal="right"/>
    </xf>
    <xf numFmtId="164" fontId="9" fillId="0" borderId="4" xfId="0" applyNumberFormat="1" applyFont="1" applyFill="1" applyBorder="1" applyAlignment="1">
      <alignment horizontal="center" vertical="center"/>
    </xf>
    <xf numFmtId="3" fontId="9" fillId="12" borderId="4" xfId="1" applyNumberFormat="1" applyFont="1" applyFill="1" applyBorder="1" applyAlignment="1">
      <alignment horizontal="center"/>
    </xf>
    <xf numFmtId="164" fontId="9" fillId="12" borderId="4" xfId="1" applyFont="1" applyFill="1" applyBorder="1" applyAlignment="1">
      <alignment horizontal="right"/>
    </xf>
    <xf numFmtId="0" fontId="9" fillId="12" borderId="7" xfId="0" applyNumberFormat="1" applyFont="1" applyFill="1" applyBorder="1" applyAlignment="1">
      <alignment horizontal="center"/>
    </xf>
    <xf numFmtId="14" fontId="9" fillId="12" borderId="7" xfId="0" applyNumberFormat="1" applyFont="1" applyFill="1" applyBorder="1" applyAlignment="1">
      <alignment horizontal="center"/>
    </xf>
    <xf numFmtId="14" fontId="9" fillId="12" borderId="4" xfId="0" applyNumberFormat="1" applyFont="1" applyFill="1" applyBorder="1" applyAlignment="1">
      <alignment horizontal="center"/>
    </xf>
  </cellXfs>
  <cellStyles count="41">
    <cellStyle name="Comma" xfId="1" builtinId="3"/>
    <cellStyle name="Normal" xfId="0" builtinId="0"/>
    <cellStyle name="Normal 10 2" xfId="2"/>
    <cellStyle name="Normal 10 3" xfId="3"/>
    <cellStyle name="Normal 10 4" xfId="4"/>
    <cellStyle name="Normal 140" xfId="5"/>
    <cellStyle name="Normal 148" xfId="6"/>
    <cellStyle name="Normal 149" xfId="7"/>
    <cellStyle name="Normal 151" xfId="8"/>
    <cellStyle name="Normal 152" xfId="40"/>
    <cellStyle name="Normal 153" xfId="9"/>
    <cellStyle name="Normal 154" xfId="10"/>
    <cellStyle name="Normal 157" xfId="38"/>
    <cellStyle name="Normal 158" xfId="39"/>
    <cellStyle name="Normal 159" xfId="11"/>
    <cellStyle name="Normal 160" xfId="12"/>
    <cellStyle name="Normal 162" xfId="13"/>
    <cellStyle name="Normal 163" xfId="14"/>
    <cellStyle name="Normal 165" xfId="15"/>
    <cellStyle name="Normal 166" xfId="16"/>
    <cellStyle name="Normal 19 2" xfId="17"/>
    <cellStyle name="Normal 19 3" xfId="18"/>
    <cellStyle name="Normal 19 4" xfId="19"/>
    <cellStyle name="Normal 2 2" xfId="20"/>
    <cellStyle name="Normal 2 3" xfId="21"/>
    <cellStyle name="Normal 2 4" xfId="22"/>
    <cellStyle name="Normal 20 2" xfId="23"/>
    <cellStyle name="Normal 20 3" xfId="24"/>
    <cellStyle name="Normal 20 4" xfId="25"/>
    <cellStyle name="Normal 23 2" xfId="26"/>
    <cellStyle name="Normal 23 3" xfId="27"/>
    <cellStyle name="Normal 23 4" xfId="28"/>
    <cellStyle name="Normal 37 2" xfId="29"/>
    <cellStyle name="Normal 37 3" xfId="30"/>
    <cellStyle name="Normal 37 4" xfId="31"/>
    <cellStyle name="Normal 38 2" xfId="32"/>
    <cellStyle name="Normal 38 3" xfId="33"/>
    <cellStyle name="Normal 38 4" xfId="34"/>
    <cellStyle name="Normal 9 2" xfId="35"/>
    <cellStyle name="Normal 9 3" xfId="36"/>
    <cellStyle name="Normal 9 4" xfId="3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36</xdr:row>
      <xdr:rowOff>114300</xdr:rowOff>
    </xdr:from>
    <xdr:to>
      <xdr:col>16</xdr:col>
      <xdr:colOff>334401</xdr:colOff>
      <xdr:row>49</xdr:row>
      <xdr:rowOff>152699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0475" y="9505950"/>
          <a:ext cx="7344801" cy="2143424"/>
        </a:xfrm>
        <a:prstGeom prst="rect">
          <a:avLst/>
        </a:prstGeom>
      </xdr:spPr>
    </xdr:pic>
    <xdr:clientData/>
  </xdr:twoCellAnchor>
  <xdr:twoCellAnchor editAs="oneCell">
    <xdr:from>
      <xdr:col>12</xdr:col>
      <xdr:colOff>323850</xdr:colOff>
      <xdr:row>22</xdr:row>
      <xdr:rowOff>133350</xdr:rowOff>
    </xdr:from>
    <xdr:to>
      <xdr:col>23</xdr:col>
      <xdr:colOff>582250</xdr:colOff>
      <xdr:row>30</xdr:row>
      <xdr:rowOff>114478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96275" y="3838575"/>
          <a:ext cx="8773750" cy="1276528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13</xdr:row>
      <xdr:rowOff>0</xdr:rowOff>
    </xdr:from>
    <xdr:to>
      <xdr:col>11</xdr:col>
      <xdr:colOff>286768</xdr:colOff>
      <xdr:row>29</xdr:row>
      <xdr:rowOff>28941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2247900"/>
          <a:ext cx="7287643" cy="26197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Cairo%20Express%20-%20palace%20Nov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D%20R%20S%20-%20palace%20%20Janu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Cairo%20Express%20-%20palace%20%20Ap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Destination%20Egypt%20ETI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Cairo%20Express%20-%20palace%20%20May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Cairo%20Express%20-%20palace%20%20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ETI%20palace%20Ma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Destination%20Egypt%20ETI%20Ma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Destination%20Egypt%20ETI%20Jun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Hung%20Jun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Inter%20Jun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v. 2023"/>
      <sheetName val="Room Type"/>
      <sheetName val="tax 27.11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 2024"/>
      <sheetName val="rate code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pr  2024"/>
      <sheetName val="Room Type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eb  2024"/>
      <sheetName val="Room Type"/>
      <sheetName val="May 2024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y  2024"/>
      <sheetName val="Room Type"/>
    </sheetNames>
    <sheetDataSet>
      <sheetData sheetId="0" refreshError="1"/>
      <sheetData sheetId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ov 2024"/>
      <sheetName val="Room Type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y 25"/>
      <sheetName val="Room Type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May 2025"/>
      <sheetName val="Room Type"/>
    </sheetNames>
    <sheetDataSet>
      <sheetData sheetId="0" refreshError="1"/>
      <sheetData sheetId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June 2025"/>
      <sheetName val="Room Type"/>
    </sheetNames>
    <sheetDataSet>
      <sheetData sheetId="0" refreshError="1"/>
      <sheetData sheetId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June 25"/>
      <sheetName val="rate code"/>
    </sheetNames>
    <sheetDataSet>
      <sheetData sheetId="0"/>
      <sheetData sheetId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June 25"/>
      <sheetName val="Room type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>
      <selection activeCell="I38" sqref="I38"/>
    </sheetView>
  </sheetViews>
  <sheetFormatPr defaultRowHeight="12.75"/>
  <cols>
    <col min="1" max="9" width="20.7109375" customWidth="1"/>
  </cols>
  <sheetData>
    <row r="1" spans="1:9" ht="20.25" thickTop="1" thickBot="1">
      <c r="A1" s="1"/>
      <c r="B1" s="22" t="s">
        <v>8</v>
      </c>
      <c r="C1" s="22" t="s">
        <v>9</v>
      </c>
      <c r="D1" s="22" t="s">
        <v>2</v>
      </c>
      <c r="E1" s="22" t="s">
        <v>3</v>
      </c>
      <c r="F1" s="22" t="s">
        <v>4</v>
      </c>
      <c r="G1" s="22" t="s">
        <v>0</v>
      </c>
      <c r="H1" s="22" t="s">
        <v>1</v>
      </c>
      <c r="I1" s="22" t="s">
        <v>5</v>
      </c>
    </row>
    <row r="2" spans="1:9" ht="16.5" thickTop="1">
      <c r="A2" s="2"/>
      <c r="B2" s="25" t="s">
        <v>38</v>
      </c>
      <c r="C2" s="38">
        <v>20629</v>
      </c>
      <c r="D2" s="26">
        <v>45802</v>
      </c>
      <c r="E2" s="26">
        <v>45809</v>
      </c>
      <c r="F2" s="39" t="s">
        <v>17</v>
      </c>
      <c r="G2" s="27">
        <f t="shared" ref="G2:G37" si="0">+E2-D2</f>
        <v>7</v>
      </c>
      <c r="H2" s="28">
        <v>84</v>
      </c>
      <c r="I2" s="29">
        <f t="shared" ref="I2:I31" si="1">+H2*G2</f>
        <v>588</v>
      </c>
    </row>
    <row r="3" spans="1:9" ht="15.75">
      <c r="A3" s="3"/>
      <c r="B3" s="30" t="s">
        <v>39</v>
      </c>
      <c r="C3" s="31">
        <v>20659</v>
      </c>
      <c r="D3" s="32">
        <v>45795</v>
      </c>
      <c r="E3" s="32">
        <v>45809</v>
      </c>
      <c r="F3" s="40" t="s">
        <v>17</v>
      </c>
      <c r="G3" s="33">
        <f t="shared" si="0"/>
        <v>14</v>
      </c>
      <c r="H3" s="34" t="s">
        <v>28</v>
      </c>
      <c r="I3" s="35">
        <f>6*92+8*84</f>
        <v>1224</v>
      </c>
    </row>
    <row r="4" spans="1:9" ht="15.75">
      <c r="B4" s="30" t="s">
        <v>40</v>
      </c>
      <c r="C4" s="31">
        <v>20732</v>
      </c>
      <c r="D4" s="32">
        <v>45805</v>
      </c>
      <c r="E4" s="32">
        <v>45812</v>
      </c>
      <c r="F4" s="40" t="s">
        <v>16</v>
      </c>
      <c r="G4" s="33">
        <f t="shared" si="0"/>
        <v>7</v>
      </c>
      <c r="H4" s="34">
        <v>72</v>
      </c>
      <c r="I4" s="35">
        <f t="shared" si="1"/>
        <v>504</v>
      </c>
    </row>
    <row r="5" spans="1:9" ht="15.75">
      <c r="B5" s="30" t="s">
        <v>40</v>
      </c>
      <c r="C5" s="31">
        <v>20733</v>
      </c>
      <c r="D5" s="32">
        <v>45805</v>
      </c>
      <c r="E5" s="32">
        <v>45812</v>
      </c>
      <c r="F5" s="40" t="s">
        <v>16</v>
      </c>
      <c r="G5" s="33">
        <f t="shared" si="0"/>
        <v>7</v>
      </c>
      <c r="H5" s="34">
        <v>72</v>
      </c>
      <c r="I5" s="35">
        <f t="shared" si="1"/>
        <v>504</v>
      </c>
    </row>
    <row r="6" spans="1:9" ht="15.75">
      <c r="B6" s="30" t="s">
        <v>41</v>
      </c>
      <c r="C6" s="31">
        <v>20734</v>
      </c>
      <c r="D6" s="32">
        <v>45805</v>
      </c>
      <c r="E6" s="32">
        <v>45812</v>
      </c>
      <c r="F6" s="40" t="s">
        <v>17</v>
      </c>
      <c r="G6" s="33">
        <f t="shared" si="0"/>
        <v>7</v>
      </c>
      <c r="H6" s="34">
        <v>84</v>
      </c>
      <c r="I6" s="35">
        <f t="shared" si="1"/>
        <v>588</v>
      </c>
    </row>
    <row r="7" spans="1:9" ht="15.75">
      <c r="B7" s="30" t="s">
        <v>41</v>
      </c>
      <c r="C7" s="31">
        <v>20735</v>
      </c>
      <c r="D7" s="32">
        <v>45805</v>
      </c>
      <c r="E7" s="32">
        <v>45812</v>
      </c>
      <c r="F7" s="40" t="s">
        <v>17</v>
      </c>
      <c r="G7" s="33">
        <f t="shared" si="0"/>
        <v>7</v>
      </c>
      <c r="H7" s="34">
        <v>84</v>
      </c>
      <c r="I7" s="35">
        <f t="shared" si="1"/>
        <v>588</v>
      </c>
    </row>
    <row r="8" spans="1:9" ht="15.75">
      <c r="B8" s="30" t="s">
        <v>42</v>
      </c>
      <c r="C8" s="31">
        <v>20736</v>
      </c>
      <c r="D8" s="32">
        <v>45805</v>
      </c>
      <c r="E8" s="32">
        <v>45812</v>
      </c>
      <c r="F8" s="40" t="s">
        <v>18</v>
      </c>
      <c r="G8" s="33">
        <f t="shared" si="0"/>
        <v>7</v>
      </c>
      <c r="H8" s="34">
        <v>98</v>
      </c>
      <c r="I8" s="35">
        <f t="shared" si="1"/>
        <v>686</v>
      </c>
    </row>
    <row r="9" spans="1:9" ht="15.75">
      <c r="B9" s="30" t="s">
        <v>43</v>
      </c>
      <c r="C9" s="31">
        <v>20737</v>
      </c>
      <c r="D9" s="32">
        <v>45805</v>
      </c>
      <c r="E9" s="32">
        <v>45812</v>
      </c>
      <c r="F9" s="40" t="s">
        <v>17</v>
      </c>
      <c r="G9" s="33">
        <f t="shared" si="0"/>
        <v>7</v>
      </c>
      <c r="H9" s="34">
        <v>84</v>
      </c>
      <c r="I9" s="35">
        <f t="shared" si="1"/>
        <v>588</v>
      </c>
    </row>
    <row r="10" spans="1:9" ht="15.75">
      <c r="B10" s="30" t="s">
        <v>44</v>
      </c>
      <c r="C10" s="31">
        <v>20738</v>
      </c>
      <c r="D10" s="32">
        <v>45805</v>
      </c>
      <c r="E10" s="32">
        <v>45812</v>
      </c>
      <c r="F10" s="40" t="s">
        <v>18</v>
      </c>
      <c r="G10" s="33">
        <f t="shared" si="0"/>
        <v>7</v>
      </c>
      <c r="H10" s="34">
        <v>98</v>
      </c>
      <c r="I10" s="35">
        <f t="shared" si="1"/>
        <v>686</v>
      </c>
    </row>
    <row r="11" spans="1:9" ht="15.75">
      <c r="B11" s="30" t="s">
        <v>45</v>
      </c>
      <c r="C11" s="31">
        <v>20903</v>
      </c>
      <c r="D11" s="32">
        <v>45809</v>
      </c>
      <c r="E11" s="32">
        <v>45816</v>
      </c>
      <c r="F11" s="40" t="s">
        <v>19</v>
      </c>
      <c r="G11" s="33">
        <f t="shared" si="0"/>
        <v>7</v>
      </c>
      <c r="H11" s="34" t="s">
        <v>32</v>
      </c>
      <c r="I11" s="35">
        <f>6*124+1*130</f>
        <v>874</v>
      </c>
    </row>
    <row r="12" spans="1:9" ht="15.75">
      <c r="B12" s="30" t="s">
        <v>46</v>
      </c>
      <c r="C12" s="31">
        <v>20904</v>
      </c>
      <c r="D12" s="32">
        <v>45809</v>
      </c>
      <c r="E12" s="32">
        <v>45816</v>
      </c>
      <c r="F12" s="40" t="s">
        <v>18</v>
      </c>
      <c r="G12" s="33">
        <f t="shared" si="0"/>
        <v>7</v>
      </c>
      <c r="H12" s="34" t="s">
        <v>33</v>
      </c>
      <c r="I12" s="35">
        <f>6*98+1*104</f>
        <v>692</v>
      </c>
    </row>
    <row r="13" spans="1:9" ht="15.75">
      <c r="B13" s="30" t="s">
        <v>47</v>
      </c>
      <c r="C13" s="31">
        <v>20905</v>
      </c>
      <c r="D13" s="32">
        <v>45809</v>
      </c>
      <c r="E13" s="32">
        <v>45816</v>
      </c>
      <c r="F13" s="40" t="s">
        <v>19</v>
      </c>
      <c r="G13" s="33">
        <f t="shared" si="0"/>
        <v>7</v>
      </c>
      <c r="H13" s="34" t="s">
        <v>32</v>
      </c>
      <c r="I13" s="35">
        <f>6*124+1*130</f>
        <v>874</v>
      </c>
    </row>
    <row r="14" spans="1:9" ht="15.75">
      <c r="B14" s="30" t="s">
        <v>48</v>
      </c>
      <c r="C14" s="31">
        <v>20923</v>
      </c>
      <c r="D14" s="32">
        <v>45805</v>
      </c>
      <c r="E14" s="32">
        <v>45816</v>
      </c>
      <c r="F14" s="40" t="s">
        <v>17</v>
      </c>
      <c r="G14" s="33">
        <f t="shared" si="0"/>
        <v>11</v>
      </c>
      <c r="H14" s="34" t="s">
        <v>31</v>
      </c>
      <c r="I14" s="35">
        <f>10*84+1*92</f>
        <v>932</v>
      </c>
    </row>
    <row r="15" spans="1:9" ht="15.75">
      <c r="B15" s="30" t="s">
        <v>49</v>
      </c>
      <c r="C15" s="31">
        <v>20988</v>
      </c>
      <c r="D15" s="32">
        <v>45812</v>
      </c>
      <c r="E15" s="32">
        <v>45819</v>
      </c>
      <c r="F15" s="40" t="s">
        <v>16</v>
      </c>
      <c r="G15" s="36">
        <f t="shared" si="0"/>
        <v>7</v>
      </c>
      <c r="H15" s="37" t="s">
        <v>34</v>
      </c>
      <c r="I15" s="35">
        <f>3*72+4*78</f>
        <v>528</v>
      </c>
    </row>
    <row r="16" spans="1:9" ht="15.75">
      <c r="B16" s="30" t="s">
        <v>50</v>
      </c>
      <c r="C16" s="31">
        <v>20989</v>
      </c>
      <c r="D16" s="32">
        <v>45812</v>
      </c>
      <c r="E16" s="32">
        <v>45819</v>
      </c>
      <c r="F16" s="40" t="s">
        <v>19</v>
      </c>
      <c r="G16" s="33">
        <f t="shared" si="0"/>
        <v>7</v>
      </c>
      <c r="H16" s="34" t="s">
        <v>32</v>
      </c>
      <c r="I16" s="35">
        <f>3*124+4*130</f>
        <v>892</v>
      </c>
    </row>
    <row r="17" spans="2:9" ht="15.75">
      <c r="B17" s="30" t="s">
        <v>51</v>
      </c>
      <c r="C17" s="31">
        <v>20990</v>
      </c>
      <c r="D17" s="32">
        <v>45812</v>
      </c>
      <c r="E17" s="32">
        <v>45819</v>
      </c>
      <c r="F17" s="40" t="s">
        <v>19</v>
      </c>
      <c r="G17" s="33">
        <f t="shared" si="0"/>
        <v>7</v>
      </c>
      <c r="H17" s="34" t="s">
        <v>32</v>
      </c>
      <c r="I17" s="35">
        <f>3*124+4*130</f>
        <v>892</v>
      </c>
    </row>
    <row r="18" spans="2:9" ht="15.75">
      <c r="B18" s="30" t="s">
        <v>52</v>
      </c>
      <c r="C18" s="31">
        <v>21025</v>
      </c>
      <c r="D18" s="32">
        <v>45813</v>
      </c>
      <c r="E18" s="32">
        <v>45820</v>
      </c>
      <c r="F18" s="40" t="s">
        <v>18</v>
      </c>
      <c r="G18" s="33">
        <f t="shared" si="0"/>
        <v>7</v>
      </c>
      <c r="H18" s="34" t="s">
        <v>33</v>
      </c>
      <c r="I18" s="35">
        <f>2*98+5*104</f>
        <v>716</v>
      </c>
    </row>
    <row r="19" spans="2:9" ht="15.75">
      <c r="B19" s="30" t="s">
        <v>53</v>
      </c>
      <c r="C19" s="31">
        <v>21256</v>
      </c>
      <c r="D19" s="32">
        <v>45816</v>
      </c>
      <c r="E19" s="32">
        <v>45826</v>
      </c>
      <c r="F19" s="40" t="s">
        <v>17</v>
      </c>
      <c r="G19" s="33">
        <f t="shared" si="0"/>
        <v>10</v>
      </c>
      <c r="H19" s="34">
        <v>92</v>
      </c>
      <c r="I19" s="35">
        <f t="shared" si="1"/>
        <v>920</v>
      </c>
    </row>
    <row r="20" spans="2:9" ht="15.75">
      <c r="B20" s="30" t="s">
        <v>54</v>
      </c>
      <c r="C20" s="31">
        <v>21263</v>
      </c>
      <c r="D20" s="32">
        <v>45819</v>
      </c>
      <c r="E20" s="32">
        <v>45826</v>
      </c>
      <c r="F20" s="40" t="s">
        <v>16</v>
      </c>
      <c r="G20" s="33">
        <f t="shared" si="0"/>
        <v>7</v>
      </c>
      <c r="H20" s="34">
        <v>78</v>
      </c>
      <c r="I20" s="35">
        <f t="shared" si="1"/>
        <v>546</v>
      </c>
    </row>
    <row r="21" spans="2:9" ht="15.75">
      <c r="B21" s="30" t="s">
        <v>55</v>
      </c>
      <c r="C21" s="31">
        <v>21264</v>
      </c>
      <c r="D21" s="32">
        <v>45819</v>
      </c>
      <c r="E21" s="32">
        <v>45826</v>
      </c>
      <c r="F21" s="40" t="s">
        <v>19</v>
      </c>
      <c r="G21" s="33">
        <f t="shared" si="0"/>
        <v>7</v>
      </c>
      <c r="H21" s="34">
        <v>130</v>
      </c>
      <c r="I21" s="35">
        <f t="shared" si="1"/>
        <v>910</v>
      </c>
    </row>
    <row r="22" spans="2:9" ht="15.75">
      <c r="B22" s="30" t="s">
        <v>56</v>
      </c>
      <c r="C22" s="31">
        <v>21265</v>
      </c>
      <c r="D22" s="32">
        <v>45819</v>
      </c>
      <c r="E22" s="32">
        <v>45826</v>
      </c>
      <c r="F22" s="40" t="s">
        <v>19</v>
      </c>
      <c r="G22" s="33">
        <f t="shared" si="0"/>
        <v>7</v>
      </c>
      <c r="H22" s="34">
        <v>130</v>
      </c>
      <c r="I22" s="35">
        <f t="shared" si="1"/>
        <v>910</v>
      </c>
    </row>
    <row r="23" spans="2:9" ht="15.75">
      <c r="B23" s="30" t="s">
        <v>57</v>
      </c>
      <c r="C23" s="31">
        <v>21266</v>
      </c>
      <c r="D23" s="32">
        <v>45819</v>
      </c>
      <c r="E23" s="32">
        <v>45826</v>
      </c>
      <c r="F23" s="40" t="s">
        <v>19</v>
      </c>
      <c r="G23" s="33">
        <f t="shared" si="0"/>
        <v>7</v>
      </c>
      <c r="H23" s="34">
        <v>130</v>
      </c>
      <c r="I23" s="35">
        <f t="shared" si="1"/>
        <v>910</v>
      </c>
    </row>
    <row r="24" spans="2:9" ht="15.75">
      <c r="B24" s="30" t="s">
        <v>58</v>
      </c>
      <c r="C24" s="31">
        <v>21267</v>
      </c>
      <c r="D24" s="32">
        <v>45819</v>
      </c>
      <c r="E24" s="32">
        <v>45826</v>
      </c>
      <c r="F24" s="40" t="s">
        <v>19</v>
      </c>
      <c r="G24" s="33">
        <f t="shared" si="0"/>
        <v>7</v>
      </c>
      <c r="H24" s="34">
        <v>130</v>
      </c>
      <c r="I24" s="35">
        <f t="shared" si="1"/>
        <v>910</v>
      </c>
    </row>
    <row r="25" spans="2:9" ht="15.75">
      <c r="B25" s="30" t="s">
        <v>58</v>
      </c>
      <c r="C25" s="31">
        <v>21268</v>
      </c>
      <c r="D25" s="32">
        <v>45819</v>
      </c>
      <c r="E25" s="32">
        <v>45826</v>
      </c>
      <c r="F25" s="40" t="s">
        <v>19</v>
      </c>
      <c r="G25" s="33">
        <f t="shared" si="0"/>
        <v>7</v>
      </c>
      <c r="H25" s="34">
        <v>130</v>
      </c>
      <c r="I25" s="35">
        <f t="shared" si="1"/>
        <v>910</v>
      </c>
    </row>
    <row r="26" spans="2:9" ht="15.75">
      <c r="B26" s="30" t="s">
        <v>59</v>
      </c>
      <c r="C26" s="31">
        <v>21269</v>
      </c>
      <c r="D26" s="32">
        <v>45819</v>
      </c>
      <c r="E26" s="32">
        <v>45826</v>
      </c>
      <c r="F26" s="40" t="s">
        <v>18</v>
      </c>
      <c r="G26" s="33">
        <f t="shared" si="0"/>
        <v>7</v>
      </c>
      <c r="H26" s="34">
        <v>104</v>
      </c>
      <c r="I26" s="35">
        <f t="shared" si="1"/>
        <v>728</v>
      </c>
    </row>
    <row r="27" spans="2:9" ht="15.75">
      <c r="B27" s="30" t="s">
        <v>60</v>
      </c>
      <c r="C27" s="31">
        <v>21270</v>
      </c>
      <c r="D27" s="32">
        <v>45819</v>
      </c>
      <c r="E27" s="32">
        <v>45826</v>
      </c>
      <c r="F27" s="40" t="s">
        <v>18</v>
      </c>
      <c r="G27" s="33">
        <f t="shared" si="0"/>
        <v>7</v>
      </c>
      <c r="H27" s="34">
        <v>104</v>
      </c>
      <c r="I27" s="35">
        <f t="shared" si="1"/>
        <v>728</v>
      </c>
    </row>
    <row r="28" spans="2:9" ht="15.75">
      <c r="B28" s="30" t="s">
        <v>61</v>
      </c>
      <c r="C28" s="31">
        <v>21271</v>
      </c>
      <c r="D28" s="32">
        <v>45819</v>
      </c>
      <c r="E28" s="32">
        <v>45826</v>
      </c>
      <c r="F28" s="40" t="s">
        <v>12</v>
      </c>
      <c r="G28" s="33">
        <f t="shared" si="0"/>
        <v>7</v>
      </c>
      <c r="H28" s="34">
        <f>52+15</f>
        <v>67</v>
      </c>
      <c r="I28" s="35">
        <f t="shared" si="1"/>
        <v>469</v>
      </c>
    </row>
    <row r="29" spans="2:9" ht="15.75">
      <c r="B29" s="30" t="s">
        <v>61</v>
      </c>
      <c r="C29" s="31">
        <v>21272</v>
      </c>
      <c r="D29" s="32">
        <v>45819</v>
      </c>
      <c r="E29" s="32">
        <v>45826</v>
      </c>
      <c r="F29" s="40" t="s">
        <v>18</v>
      </c>
      <c r="G29" s="33">
        <f t="shared" si="0"/>
        <v>7</v>
      </c>
      <c r="H29" s="34">
        <v>104</v>
      </c>
      <c r="I29" s="35">
        <f t="shared" si="1"/>
        <v>728</v>
      </c>
    </row>
    <row r="30" spans="2:9" ht="15.75">
      <c r="B30" s="30" t="s">
        <v>62</v>
      </c>
      <c r="C30" s="31">
        <v>21275</v>
      </c>
      <c r="D30" s="32">
        <v>45819</v>
      </c>
      <c r="E30" s="32">
        <v>45826</v>
      </c>
      <c r="F30" s="40" t="s">
        <v>10</v>
      </c>
      <c r="G30" s="33">
        <f t="shared" si="0"/>
        <v>7</v>
      </c>
      <c r="H30" s="34">
        <f>39+15</f>
        <v>54</v>
      </c>
      <c r="I30" s="35">
        <f t="shared" si="1"/>
        <v>378</v>
      </c>
    </row>
    <row r="31" spans="2:9" ht="15.75">
      <c r="B31" s="30" t="s">
        <v>63</v>
      </c>
      <c r="C31" s="31">
        <v>21298</v>
      </c>
      <c r="D31" s="32">
        <v>45820</v>
      </c>
      <c r="E31" s="32">
        <v>45827</v>
      </c>
      <c r="F31" s="40" t="s">
        <v>19</v>
      </c>
      <c r="G31" s="33">
        <f t="shared" si="0"/>
        <v>7</v>
      </c>
      <c r="H31" s="34">
        <v>130</v>
      </c>
      <c r="I31" s="35">
        <f t="shared" si="1"/>
        <v>910</v>
      </c>
    </row>
    <row r="32" spans="2:9" ht="15.75">
      <c r="B32" s="30" t="s">
        <v>64</v>
      </c>
      <c r="C32" s="31">
        <v>21416</v>
      </c>
      <c r="D32" s="32">
        <v>45823</v>
      </c>
      <c r="E32" s="32">
        <v>45830</v>
      </c>
      <c r="F32" s="40" t="s">
        <v>17</v>
      </c>
      <c r="G32" s="33">
        <f t="shared" si="0"/>
        <v>7</v>
      </c>
      <c r="H32" s="34" t="s">
        <v>36</v>
      </c>
      <c r="I32" s="35">
        <f>92*6+78</f>
        <v>630</v>
      </c>
    </row>
    <row r="33" spans="2:9" ht="15.75">
      <c r="B33" s="30" t="s">
        <v>65</v>
      </c>
      <c r="C33" s="31">
        <v>21509</v>
      </c>
      <c r="D33" s="32">
        <v>45823</v>
      </c>
      <c r="E33" s="32">
        <v>45833</v>
      </c>
      <c r="F33" s="40" t="s">
        <v>17</v>
      </c>
      <c r="G33" s="33">
        <f t="shared" si="0"/>
        <v>10</v>
      </c>
      <c r="H33" s="34" t="s">
        <v>36</v>
      </c>
      <c r="I33" s="35">
        <f>6*92+4*78</f>
        <v>864</v>
      </c>
    </row>
    <row r="34" spans="2:9" ht="15.75">
      <c r="B34" s="30" t="s">
        <v>66</v>
      </c>
      <c r="C34" s="31">
        <v>21517</v>
      </c>
      <c r="D34" s="32">
        <v>45826</v>
      </c>
      <c r="E34" s="32">
        <v>45833</v>
      </c>
      <c r="F34" s="40" t="s">
        <v>17</v>
      </c>
      <c r="G34" s="33">
        <f t="shared" si="0"/>
        <v>7</v>
      </c>
      <c r="H34" s="34" t="s">
        <v>36</v>
      </c>
      <c r="I34" s="35">
        <f>3*92+4*78</f>
        <v>588</v>
      </c>
    </row>
    <row r="35" spans="2:9" ht="15.75">
      <c r="B35" s="30" t="s">
        <v>67</v>
      </c>
      <c r="C35" s="31">
        <v>21518</v>
      </c>
      <c r="D35" s="32">
        <v>45826</v>
      </c>
      <c r="E35" s="32">
        <v>45833</v>
      </c>
      <c r="F35" s="40" t="s">
        <v>19</v>
      </c>
      <c r="G35" s="33">
        <f t="shared" si="0"/>
        <v>7</v>
      </c>
      <c r="H35" s="34" t="s">
        <v>37</v>
      </c>
      <c r="I35" s="35">
        <f>3*130+4*118</f>
        <v>862</v>
      </c>
    </row>
    <row r="36" spans="2:9" ht="15.75">
      <c r="B36" s="30" t="s">
        <v>68</v>
      </c>
      <c r="C36" s="31">
        <v>21519</v>
      </c>
      <c r="D36" s="32">
        <v>45826</v>
      </c>
      <c r="E36" s="32">
        <v>45833</v>
      </c>
      <c r="F36" s="40" t="s">
        <v>18</v>
      </c>
      <c r="G36" s="33">
        <f t="shared" si="0"/>
        <v>7</v>
      </c>
      <c r="H36" s="34" t="s">
        <v>35</v>
      </c>
      <c r="I36" s="35">
        <f>3*104+4*92</f>
        <v>680</v>
      </c>
    </row>
    <row r="37" spans="2:9" ht="15.75">
      <c r="B37" s="30" t="s">
        <v>69</v>
      </c>
      <c r="C37" s="31">
        <v>21659</v>
      </c>
      <c r="D37" s="32">
        <v>45830</v>
      </c>
      <c r="E37" s="32">
        <v>45837</v>
      </c>
      <c r="F37" s="40" t="s">
        <v>19</v>
      </c>
      <c r="G37" s="33">
        <f t="shared" si="0"/>
        <v>7</v>
      </c>
      <c r="H37" s="34">
        <v>118</v>
      </c>
      <c r="I37" s="35">
        <v>800</v>
      </c>
    </row>
  </sheetData>
  <autoFilter ref="B1:I4">
    <filterColumn colId="4"/>
  </autoFilter>
  <dataValidations count="1">
    <dataValidation type="list" allowBlank="1" showInputMessage="1" showErrorMessage="1" sqref="F2:F37">
      <formula1>'[11]Room type'!$A$1:$A$34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3"/>
  <sheetViews>
    <sheetView workbookViewId="0">
      <selection activeCell="I35" sqref="I35"/>
    </sheetView>
  </sheetViews>
  <sheetFormatPr defaultRowHeight="12.75"/>
  <cols>
    <col min="1" max="2" width="11.28515625" bestFit="1" customWidth="1"/>
    <col min="3" max="3" width="10.7109375" bestFit="1" customWidth="1"/>
    <col min="9" max="9" width="10.7109375" bestFit="1" customWidth="1"/>
    <col min="10" max="10" width="11.5703125" bestFit="1" customWidth="1"/>
    <col min="15" max="15" width="8" bestFit="1" customWidth="1"/>
    <col min="16" max="16" width="16.28515625" bestFit="1" customWidth="1"/>
    <col min="17" max="17" width="12.5703125" bestFit="1" customWidth="1"/>
    <col min="18" max="18" width="12.85546875" bestFit="1" customWidth="1"/>
    <col min="19" max="19" width="13.7109375" bestFit="1" customWidth="1"/>
    <col min="20" max="21" width="13.85546875" bestFit="1" customWidth="1"/>
    <col min="25" max="25" width="16.85546875" customWidth="1"/>
  </cols>
  <sheetData>
    <row r="1" spans="1:22" ht="17.25" thickTop="1" thickBot="1">
      <c r="A1" s="5" t="s">
        <v>6</v>
      </c>
      <c r="B1" s="16" t="s">
        <v>7</v>
      </c>
      <c r="C1" s="7" t="s">
        <v>10</v>
      </c>
      <c r="D1" s="7" t="s">
        <v>11</v>
      </c>
      <c r="E1" s="7" t="s">
        <v>12</v>
      </c>
      <c r="F1" s="7" t="s">
        <v>13</v>
      </c>
      <c r="G1" s="8" t="s">
        <v>14</v>
      </c>
      <c r="H1" s="8" t="s">
        <v>15</v>
      </c>
      <c r="I1" s="9" t="s">
        <v>16</v>
      </c>
      <c r="J1" s="9" t="s">
        <v>17</v>
      </c>
      <c r="K1" s="23" t="s">
        <v>18</v>
      </c>
      <c r="L1" s="10" t="s">
        <v>19</v>
      </c>
      <c r="M1" s="24" t="s">
        <v>29</v>
      </c>
      <c r="N1" s="10" t="s">
        <v>20</v>
      </c>
      <c r="O1" s="4" t="s">
        <v>21</v>
      </c>
      <c r="P1" s="13" t="s">
        <v>23</v>
      </c>
      <c r="Q1" s="13" t="s">
        <v>22</v>
      </c>
      <c r="R1" s="13" t="s">
        <v>24</v>
      </c>
      <c r="S1" s="19" t="s">
        <v>25</v>
      </c>
      <c r="T1" s="20" t="s">
        <v>26</v>
      </c>
      <c r="U1" s="21" t="s">
        <v>27</v>
      </c>
      <c r="V1" s="23" t="s">
        <v>30</v>
      </c>
    </row>
    <row r="2" spans="1:22" ht="15" thickTop="1">
      <c r="A2" s="6">
        <v>45662</v>
      </c>
      <c r="B2" s="6">
        <v>45699</v>
      </c>
      <c r="C2" s="17">
        <f t="shared" ref="C2" si="0">+(I2/2)+15</f>
        <v>43</v>
      </c>
      <c r="D2" s="17">
        <f t="shared" ref="D2" si="1">+(J2/2)+15</f>
        <v>50</v>
      </c>
      <c r="E2" s="17">
        <f t="shared" ref="E2" si="2">+(K2/2)+15</f>
        <v>57</v>
      </c>
      <c r="F2" s="17">
        <f t="shared" ref="F2" si="3">+(L2/2)+15</f>
        <v>71</v>
      </c>
      <c r="G2" s="18">
        <f t="shared" ref="G2" si="4">+(M2/2)+15</f>
        <v>113</v>
      </c>
      <c r="H2" s="18">
        <f t="shared" ref="H2" si="5">+(N2/2)+15</f>
        <v>260</v>
      </c>
      <c r="I2" s="11">
        <f>28*2</f>
        <v>56</v>
      </c>
      <c r="J2" s="11">
        <f>35*2</f>
        <v>70</v>
      </c>
      <c r="K2" s="11">
        <f>42*2</f>
        <v>84</v>
      </c>
      <c r="L2" s="12">
        <f>56*2</f>
        <v>112</v>
      </c>
      <c r="M2" s="12">
        <f>98*2</f>
        <v>196</v>
      </c>
      <c r="N2" s="12">
        <f>245*2</f>
        <v>490</v>
      </c>
      <c r="O2" s="15">
        <f t="shared" ref="O2" si="6">+((J2/2)-2)*3</f>
        <v>99</v>
      </c>
      <c r="P2" s="4">
        <f t="shared" ref="P2" si="7">+I2/2</f>
        <v>28</v>
      </c>
      <c r="Q2" s="14"/>
      <c r="R2">
        <f t="shared" ref="R2" si="8">+D2/2</f>
        <v>25</v>
      </c>
      <c r="S2">
        <f t="shared" ref="S2" si="9">+J2/2</f>
        <v>35</v>
      </c>
      <c r="T2">
        <f t="shared" ref="T2" si="10">+L2/2</f>
        <v>56</v>
      </c>
      <c r="U2">
        <f t="shared" ref="U2" si="11">+K2/2</f>
        <v>42</v>
      </c>
      <c r="V2">
        <f>+F2/2</f>
        <v>35.5</v>
      </c>
    </row>
    <row r="3" spans="1:22" ht="14.25">
      <c r="A3" s="6">
        <v>45700</v>
      </c>
      <c r="B3" s="6">
        <v>45758</v>
      </c>
      <c r="C3" s="17">
        <f t="shared" ref="C3:C4" si="12">+(I3/2)+15</f>
        <v>50</v>
      </c>
      <c r="D3" s="17">
        <f t="shared" ref="D3:D4" si="13">+(J3/2)+15</f>
        <v>57</v>
      </c>
      <c r="E3" s="17">
        <f t="shared" ref="E3:E4" si="14">+(K3/2)+15</f>
        <v>64</v>
      </c>
      <c r="F3" s="17">
        <f t="shared" ref="F3:F4" si="15">+(L3/2)+15</f>
        <v>78</v>
      </c>
      <c r="G3" s="18">
        <f t="shared" ref="G3:G4" si="16">+(M3/2)+15</f>
        <v>120</v>
      </c>
      <c r="H3" s="18">
        <f t="shared" ref="H3:H4" si="17">+(N3/2)+15</f>
        <v>278</v>
      </c>
      <c r="I3" s="11">
        <f>35*2</f>
        <v>70</v>
      </c>
      <c r="J3" s="11">
        <f>42*2</f>
        <v>84</v>
      </c>
      <c r="K3" s="11">
        <f>49*2</f>
        <v>98</v>
      </c>
      <c r="L3" s="12">
        <f>63*2</f>
        <v>126</v>
      </c>
      <c r="M3" s="12">
        <f>105*2</f>
        <v>210</v>
      </c>
      <c r="N3" s="12">
        <f>263*2</f>
        <v>526</v>
      </c>
      <c r="O3" s="15">
        <f t="shared" ref="O3:O4" si="18">+((J3/2)-2)*3</f>
        <v>120</v>
      </c>
      <c r="P3" s="4">
        <f t="shared" ref="P3:P4" si="19">+I3/2</f>
        <v>35</v>
      </c>
      <c r="Q3" s="14"/>
      <c r="R3">
        <f t="shared" ref="R3:R4" si="20">+D3/2</f>
        <v>28.5</v>
      </c>
      <c r="S3">
        <f t="shared" ref="S3:S4" si="21">+J3/2</f>
        <v>42</v>
      </c>
      <c r="T3">
        <f t="shared" ref="T3:T4" si="22">+L3/2</f>
        <v>63</v>
      </c>
      <c r="U3">
        <f t="shared" ref="U3:U4" si="23">+K3/2</f>
        <v>49</v>
      </c>
      <c r="V3">
        <f t="shared" ref="V3:V13" si="24">+F3/2</f>
        <v>39</v>
      </c>
    </row>
    <row r="4" spans="1:22" ht="14.25">
      <c r="A4" s="6">
        <v>45759</v>
      </c>
      <c r="B4" s="6">
        <v>45771</v>
      </c>
      <c r="C4" s="17">
        <f t="shared" si="12"/>
        <v>64</v>
      </c>
      <c r="D4" s="17">
        <f t="shared" si="13"/>
        <v>71</v>
      </c>
      <c r="E4" s="17">
        <f t="shared" si="14"/>
        <v>78</v>
      </c>
      <c r="F4" s="17">
        <f t="shared" si="15"/>
        <v>92</v>
      </c>
      <c r="G4" s="18">
        <f t="shared" si="16"/>
        <v>134</v>
      </c>
      <c r="H4" s="18">
        <f t="shared" si="17"/>
        <v>312</v>
      </c>
      <c r="I4" s="11">
        <f>49*2</f>
        <v>98</v>
      </c>
      <c r="J4" s="11">
        <f>56*2</f>
        <v>112</v>
      </c>
      <c r="K4" s="11">
        <f>63*2</f>
        <v>126</v>
      </c>
      <c r="L4" s="12">
        <f>77*2</f>
        <v>154</v>
      </c>
      <c r="M4" s="12">
        <f>119*2</f>
        <v>238</v>
      </c>
      <c r="N4" s="12">
        <f>297*2</f>
        <v>594</v>
      </c>
      <c r="O4" s="15">
        <f t="shared" si="18"/>
        <v>162</v>
      </c>
      <c r="P4" s="4">
        <f t="shared" si="19"/>
        <v>49</v>
      </c>
      <c r="Q4" s="14"/>
      <c r="R4">
        <f t="shared" si="20"/>
        <v>35.5</v>
      </c>
      <c r="S4">
        <f t="shared" si="21"/>
        <v>56</v>
      </c>
      <c r="T4">
        <f t="shared" si="22"/>
        <v>77</v>
      </c>
      <c r="U4">
        <f t="shared" si="23"/>
        <v>63</v>
      </c>
      <c r="V4">
        <f t="shared" si="24"/>
        <v>46</v>
      </c>
    </row>
    <row r="5" spans="1:22" ht="14.25">
      <c r="A5" s="6">
        <v>45772</v>
      </c>
      <c r="B5" s="6">
        <v>45777</v>
      </c>
      <c r="C5" s="17">
        <f t="shared" ref="C5:C8" si="25">+(I5/2)+15</f>
        <v>57</v>
      </c>
      <c r="D5" s="17">
        <f t="shared" ref="D5:D8" si="26">+(J5/2)+15</f>
        <v>64</v>
      </c>
      <c r="E5" s="17">
        <f t="shared" ref="E5:E8" si="27">+(K5/2)+15</f>
        <v>71</v>
      </c>
      <c r="F5" s="17">
        <f t="shared" ref="F5:F8" si="28">+(L5/2)+15</f>
        <v>85</v>
      </c>
      <c r="G5" s="18">
        <f t="shared" ref="G5:G8" si="29">+(M5/2)+15</f>
        <v>127</v>
      </c>
      <c r="H5" s="18">
        <f t="shared" ref="H5:H8" si="30">+(N5/2)+15</f>
        <v>295</v>
      </c>
      <c r="I5" s="11">
        <f>42*2</f>
        <v>84</v>
      </c>
      <c r="J5" s="11">
        <f>49*2</f>
        <v>98</v>
      </c>
      <c r="K5" s="11">
        <f>56*2</f>
        <v>112</v>
      </c>
      <c r="L5" s="12">
        <f>70*2</f>
        <v>140</v>
      </c>
      <c r="M5" s="12">
        <f>112*2</f>
        <v>224</v>
      </c>
      <c r="N5" s="12">
        <f>280*2</f>
        <v>560</v>
      </c>
      <c r="O5" s="15">
        <f t="shared" ref="O5:O8" si="31">+((J5/2)-2)*3</f>
        <v>141</v>
      </c>
      <c r="P5" s="4">
        <f t="shared" ref="P5:P8" si="32">+I5/2</f>
        <v>42</v>
      </c>
      <c r="Q5" s="14"/>
      <c r="R5">
        <f t="shared" ref="R5:R8" si="33">+D5/2</f>
        <v>32</v>
      </c>
      <c r="S5">
        <f t="shared" ref="S5:S8" si="34">+J5/2</f>
        <v>49</v>
      </c>
      <c r="T5">
        <f t="shared" ref="T5:T8" si="35">+L5/2</f>
        <v>70</v>
      </c>
      <c r="U5">
        <f t="shared" ref="U5:U8" si="36">+K5/2</f>
        <v>56</v>
      </c>
      <c r="V5">
        <f t="shared" si="24"/>
        <v>42.5</v>
      </c>
    </row>
    <row r="6" spans="1:22" ht="14.25">
      <c r="A6" s="6">
        <v>45778</v>
      </c>
      <c r="B6" s="6">
        <v>45800</v>
      </c>
      <c r="C6" s="17">
        <f t="shared" si="25"/>
        <v>54</v>
      </c>
      <c r="D6" s="17">
        <f t="shared" si="26"/>
        <v>61</v>
      </c>
      <c r="E6" s="17">
        <f t="shared" si="27"/>
        <v>67</v>
      </c>
      <c r="F6" s="17">
        <f t="shared" si="28"/>
        <v>80</v>
      </c>
      <c r="G6" s="18">
        <f t="shared" si="29"/>
        <v>119</v>
      </c>
      <c r="H6" s="18">
        <f t="shared" si="30"/>
        <v>327</v>
      </c>
      <c r="I6" s="11">
        <f>39*2</f>
        <v>78</v>
      </c>
      <c r="J6" s="11">
        <f>46*2</f>
        <v>92</v>
      </c>
      <c r="K6" s="11">
        <f>52*2</f>
        <v>104</v>
      </c>
      <c r="L6" s="12">
        <f>65*2</f>
        <v>130</v>
      </c>
      <c r="M6" s="12">
        <f>104*2</f>
        <v>208</v>
      </c>
      <c r="N6" s="12">
        <f>312*2</f>
        <v>624</v>
      </c>
      <c r="O6" s="15">
        <f t="shared" si="31"/>
        <v>132</v>
      </c>
      <c r="P6" s="4">
        <f t="shared" si="32"/>
        <v>39</v>
      </c>
      <c r="Q6" s="14"/>
      <c r="R6">
        <f t="shared" si="33"/>
        <v>30.5</v>
      </c>
      <c r="S6">
        <f t="shared" si="34"/>
        <v>46</v>
      </c>
      <c r="T6">
        <f t="shared" si="35"/>
        <v>65</v>
      </c>
      <c r="U6">
        <f t="shared" si="36"/>
        <v>52</v>
      </c>
      <c r="V6">
        <f t="shared" si="24"/>
        <v>40</v>
      </c>
    </row>
    <row r="7" spans="1:22" ht="14.25">
      <c r="A7" s="6">
        <v>45801</v>
      </c>
      <c r="B7" s="6">
        <v>45814</v>
      </c>
      <c r="C7" s="17">
        <f t="shared" si="25"/>
        <v>51</v>
      </c>
      <c r="D7" s="17">
        <f t="shared" si="26"/>
        <v>57</v>
      </c>
      <c r="E7" s="17">
        <f t="shared" si="27"/>
        <v>64</v>
      </c>
      <c r="F7" s="17">
        <f t="shared" si="28"/>
        <v>77</v>
      </c>
      <c r="G7" s="18">
        <f t="shared" si="29"/>
        <v>116</v>
      </c>
      <c r="H7" s="18">
        <f t="shared" si="30"/>
        <v>317</v>
      </c>
      <c r="I7" s="11">
        <f>36*2</f>
        <v>72</v>
      </c>
      <c r="J7" s="11">
        <f>42*2</f>
        <v>84</v>
      </c>
      <c r="K7" s="11">
        <f>49*2</f>
        <v>98</v>
      </c>
      <c r="L7" s="12">
        <f>62*2</f>
        <v>124</v>
      </c>
      <c r="M7" s="12">
        <f>101*2</f>
        <v>202</v>
      </c>
      <c r="N7" s="12">
        <f>302*2</f>
        <v>604</v>
      </c>
      <c r="O7" s="15">
        <f t="shared" si="31"/>
        <v>120</v>
      </c>
      <c r="P7" s="4">
        <f t="shared" si="32"/>
        <v>36</v>
      </c>
      <c r="Q7" s="14"/>
      <c r="R7">
        <f t="shared" si="33"/>
        <v>28.5</v>
      </c>
      <c r="S7">
        <f t="shared" si="34"/>
        <v>42</v>
      </c>
      <c r="T7">
        <f t="shared" si="35"/>
        <v>62</v>
      </c>
      <c r="U7">
        <f t="shared" si="36"/>
        <v>49</v>
      </c>
      <c r="V7">
        <f t="shared" si="24"/>
        <v>38.5</v>
      </c>
    </row>
    <row r="8" spans="1:22" ht="14.25">
      <c r="A8" s="6">
        <v>45815</v>
      </c>
      <c r="B8" s="6">
        <v>45828</v>
      </c>
      <c r="C8" s="17">
        <f t="shared" si="25"/>
        <v>54</v>
      </c>
      <c r="D8" s="17">
        <f t="shared" si="26"/>
        <v>61</v>
      </c>
      <c r="E8" s="17">
        <f t="shared" si="27"/>
        <v>67</v>
      </c>
      <c r="F8" s="17">
        <f t="shared" si="28"/>
        <v>80</v>
      </c>
      <c r="G8" s="18">
        <f t="shared" si="29"/>
        <v>119</v>
      </c>
      <c r="H8" s="18">
        <f t="shared" si="30"/>
        <v>327</v>
      </c>
      <c r="I8" s="11">
        <f>39*2</f>
        <v>78</v>
      </c>
      <c r="J8" s="11">
        <f>46*2</f>
        <v>92</v>
      </c>
      <c r="K8" s="11">
        <f>52*2</f>
        <v>104</v>
      </c>
      <c r="L8" s="12">
        <f>65*2</f>
        <v>130</v>
      </c>
      <c r="M8" s="12">
        <f>104*2</f>
        <v>208</v>
      </c>
      <c r="N8" s="12">
        <f>312*2</f>
        <v>624</v>
      </c>
      <c r="O8" s="15">
        <f t="shared" si="31"/>
        <v>132</v>
      </c>
      <c r="P8" s="4">
        <f t="shared" si="32"/>
        <v>39</v>
      </c>
      <c r="Q8" s="14"/>
      <c r="R8">
        <f t="shared" si="33"/>
        <v>30.5</v>
      </c>
      <c r="S8">
        <f t="shared" si="34"/>
        <v>46</v>
      </c>
      <c r="T8">
        <f t="shared" si="35"/>
        <v>65</v>
      </c>
      <c r="U8">
        <f t="shared" si="36"/>
        <v>52</v>
      </c>
      <c r="V8">
        <f t="shared" si="24"/>
        <v>40</v>
      </c>
    </row>
    <row r="9" spans="1:22" ht="14.25">
      <c r="A9" s="6">
        <v>45829</v>
      </c>
      <c r="B9" s="6">
        <v>45849</v>
      </c>
      <c r="C9" s="17">
        <f t="shared" ref="C9:C12" si="37">+(I9/2)+15</f>
        <v>48</v>
      </c>
      <c r="D9" s="17">
        <f t="shared" ref="D9:D12" si="38">+(J9/2)+15</f>
        <v>54</v>
      </c>
      <c r="E9" s="17">
        <f t="shared" ref="E9:E12" si="39">+(K9/2)+15</f>
        <v>61</v>
      </c>
      <c r="F9" s="17">
        <f t="shared" ref="F9:F12" si="40">+(L9/2)+15</f>
        <v>74</v>
      </c>
      <c r="G9" s="18">
        <f t="shared" ref="G9:G12" si="41">+(M9/2)+15</f>
        <v>113</v>
      </c>
      <c r="H9" s="18">
        <f t="shared" ref="H9:H12" si="42">+(N9/2)+15</f>
        <v>308</v>
      </c>
      <c r="I9" s="11">
        <v>66</v>
      </c>
      <c r="J9" s="11">
        <f>39*2</f>
        <v>78</v>
      </c>
      <c r="K9" s="11">
        <f>46*2</f>
        <v>92</v>
      </c>
      <c r="L9" s="12">
        <f>59*2</f>
        <v>118</v>
      </c>
      <c r="M9" s="12">
        <f>98*2</f>
        <v>196</v>
      </c>
      <c r="N9" s="12">
        <f>293*2</f>
        <v>586</v>
      </c>
      <c r="O9" s="15">
        <f t="shared" ref="O9:O12" si="43">+((J9/2)-2)*3</f>
        <v>111</v>
      </c>
      <c r="P9" s="4">
        <f t="shared" ref="P9:P12" si="44">+I9/2</f>
        <v>33</v>
      </c>
      <c r="Q9" s="14"/>
      <c r="R9">
        <f t="shared" ref="R9:R12" si="45">+D9/2</f>
        <v>27</v>
      </c>
      <c r="S9">
        <f t="shared" ref="S9:S12" si="46">+J9/2</f>
        <v>39</v>
      </c>
      <c r="T9">
        <f t="shared" ref="T9:T12" si="47">+L9/2</f>
        <v>59</v>
      </c>
      <c r="U9">
        <f t="shared" ref="U9:U12" si="48">+K9/2</f>
        <v>46</v>
      </c>
      <c r="V9">
        <f t="shared" si="24"/>
        <v>37</v>
      </c>
    </row>
    <row r="10" spans="1:22" ht="14.25">
      <c r="A10" s="6">
        <v>45850</v>
      </c>
      <c r="B10" s="6">
        <v>45891</v>
      </c>
      <c r="C10" s="17">
        <f t="shared" si="37"/>
        <v>51</v>
      </c>
      <c r="D10" s="17">
        <f t="shared" si="38"/>
        <v>57</v>
      </c>
      <c r="E10" s="17">
        <f t="shared" si="39"/>
        <v>64</v>
      </c>
      <c r="F10" s="17">
        <f t="shared" si="40"/>
        <v>77</v>
      </c>
      <c r="G10" s="18">
        <f t="shared" si="41"/>
        <v>116</v>
      </c>
      <c r="H10" s="18">
        <f t="shared" si="42"/>
        <v>317</v>
      </c>
      <c r="I10" s="11">
        <v>72</v>
      </c>
      <c r="J10" s="11">
        <f>42*2</f>
        <v>84</v>
      </c>
      <c r="K10" s="11">
        <f>49*2</f>
        <v>98</v>
      </c>
      <c r="L10" s="12">
        <f>62*2</f>
        <v>124</v>
      </c>
      <c r="M10" s="12">
        <f>101*2</f>
        <v>202</v>
      </c>
      <c r="N10" s="12">
        <v>604</v>
      </c>
      <c r="O10" s="15">
        <f t="shared" si="43"/>
        <v>120</v>
      </c>
      <c r="P10" s="4">
        <f t="shared" si="44"/>
        <v>36</v>
      </c>
      <c r="Q10" s="14"/>
      <c r="R10">
        <f t="shared" si="45"/>
        <v>28.5</v>
      </c>
      <c r="S10">
        <f t="shared" si="46"/>
        <v>42</v>
      </c>
      <c r="T10">
        <f t="shared" si="47"/>
        <v>62</v>
      </c>
      <c r="U10">
        <f t="shared" si="48"/>
        <v>49</v>
      </c>
      <c r="V10">
        <f t="shared" si="24"/>
        <v>38.5</v>
      </c>
    </row>
    <row r="11" spans="1:22" ht="14.25">
      <c r="A11" s="6">
        <v>45892</v>
      </c>
      <c r="B11" s="6">
        <v>45940</v>
      </c>
      <c r="C11" s="17">
        <f t="shared" si="37"/>
        <v>51</v>
      </c>
      <c r="D11" s="17">
        <f t="shared" si="38"/>
        <v>57</v>
      </c>
      <c r="E11" s="17">
        <f t="shared" si="39"/>
        <v>64</v>
      </c>
      <c r="F11" s="17">
        <f t="shared" si="40"/>
        <v>77</v>
      </c>
      <c r="G11" s="18">
        <f t="shared" si="41"/>
        <v>116</v>
      </c>
      <c r="H11" s="18">
        <f t="shared" si="42"/>
        <v>317</v>
      </c>
      <c r="I11" s="11">
        <v>72</v>
      </c>
      <c r="J11" s="11">
        <v>84</v>
      </c>
      <c r="K11" s="11">
        <f>49*2</f>
        <v>98</v>
      </c>
      <c r="L11" s="12">
        <f>62*2</f>
        <v>124</v>
      </c>
      <c r="M11" s="12">
        <v>202</v>
      </c>
      <c r="N11" s="12">
        <v>604</v>
      </c>
      <c r="O11" s="15">
        <f t="shared" si="43"/>
        <v>120</v>
      </c>
      <c r="P11" s="4">
        <f t="shared" si="44"/>
        <v>36</v>
      </c>
      <c r="Q11" s="14"/>
      <c r="R11">
        <f t="shared" si="45"/>
        <v>28.5</v>
      </c>
      <c r="S11">
        <f t="shared" si="46"/>
        <v>42</v>
      </c>
      <c r="T11">
        <f t="shared" si="47"/>
        <v>62</v>
      </c>
      <c r="U11">
        <f t="shared" si="48"/>
        <v>49</v>
      </c>
      <c r="V11">
        <f t="shared" si="24"/>
        <v>38.5</v>
      </c>
    </row>
    <row r="12" spans="1:22" ht="14.25">
      <c r="A12" s="6">
        <v>45941</v>
      </c>
      <c r="B12" s="6">
        <v>45954</v>
      </c>
      <c r="C12" s="17">
        <f t="shared" si="37"/>
        <v>57</v>
      </c>
      <c r="D12" s="17">
        <f t="shared" si="38"/>
        <v>64</v>
      </c>
      <c r="E12" s="17">
        <f t="shared" si="39"/>
        <v>70</v>
      </c>
      <c r="F12" s="17">
        <f t="shared" si="40"/>
        <v>83</v>
      </c>
      <c r="G12" s="18">
        <f t="shared" si="41"/>
        <v>122</v>
      </c>
      <c r="H12" s="18">
        <f t="shared" si="42"/>
        <v>337</v>
      </c>
      <c r="I12" s="11">
        <v>84</v>
      </c>
      <c r="J12" s="11">
        <f>49*2</f>
        <v>98</v>
      </c>
      <c r="K12" s="11">
        <f>55*2</f>
        <v>110</v>
      </c>
      <c r="L12" s="12">
        <f>68*2</f>
        <v>136</v>
      </c>
      <c r="M12" s="12">
        <f>107*2</f>
        <v>214</v>
      </c>
      <c r="N12" s="12">
        <v>644</v>
      </c>
      <c r="O12" s="15">
        <f t="shared" si="43"/>
        <v>141</v>
      </c>
      <c r="P12" s="4">
        <f t="shared" si="44"/>
        <v>42</v>
      </c>
      <c r="Q12" s="14"/>
      <c r="R12">
        <f t="shared" si="45"/>
        <v>32</v>
      </c>
      <c r="S12">
        <f t="shared" si="46"/>
        <v>49</v>
      </c>
      <c r="T12">
        <f t="shared" si="47"/>
        <v>68</v>
      </c>
      <c r="U12">
        <f t="shared" si="48"/>
        <v>55</v>
      </c>
      <c r="V12">
        <f t="shared" si="24"/>
        <v>41.5</v>
      </c>
    </row>
    <row r="13" spans="1:22" ht="14.25">
      <c r="A13" s="6">
        <v>45955</v>
      </c>
      <c r="B13" s="6">
        <v>45961</v>
      </c>
      <c r="C13" s="17">
        <f t="shared" ref="C13" si="49">+(I13/2)+15</f>
        <v>54</v>
      </c>
      <c r="D13" s="17">
        <f t="shared" ref="D13" si="50">+(J13/2)+15</f>
        <v>61</v>
      </c>
      <c r="E13" s="17">
        <f t="shared" ref="E13" si="51">+(K13/2)+15</f>
        <v>67</v>
      </c>
      <c r="F13" s="17">
        <f t="shared" ref="F13" si="52">+(L13/2)+15</f>
        <v>80</v>
      </c>
      <c r="G13" s="18">
        <f t="shared" ref="G13" si="53">+(M13/2)+15</f>
        <v>119</v>
      </c>
      <c r="H13" s="18">
        <f t="shared" ref="H13" si="54">+(N13/2)+15</f>
        <v>327</v>
      </c>
      <c r="I13" s="11">
        <f>39*2</f>
        <v>78</v>
      </c>
      <c r="J13" s="11">
        <f>46*2</f>
        <v>92</v>
      </c>
      <c r="K13" s="11">
        <f>52*2</f>
        <v>104</v>
      </c>
      <c r="L13" s="12">
        <f>65*2</f>
        <v>130</v>
      </c>
      <c r="M13" s="12">
        <f>104*2</f>
        <v>208</v>
      </c>
      <c r="N13" s="12">
        <f>312*2</f>
        <v>624</v>
      </c>
      <c r="O13" s="15">
        <f t="shared" ref="O13" si="55">+((J13/2)-2)*3</f>
        <v>132</v>
      </c>
      <c r="P13" s="4">
        <f t="shared" ref="P13" si="56">+I13/2</f>
        <v>39</v>
      </c>
      <c r="Q13" s="14"/>
      <c r="R13">
        <f t="shared" ref="R13" si="57">+D13/2</f>
        <v>30.5</v>
      </c>
      <c r="S13">
        <f t="shared" ref="S13" si="58">+J13/2</f>
        <v>46</v>
      </c>
      <c r="T13">
        <f t="shared" ref="T13" si="59">+L13/2</f>
        <v>65</v>
      </c>
      <c r="U13">
        <f t="shared" ref="U13" si="60">+K13/2</f>
        <v>52</v>
      </c>
      <c r="V13">
        <f t="shared" si="24"/>
        <v>40</v>
      </c>
    </row>
  </sheetData>
  <dataValidations count="8">
    <dataValidation type="list" allowBlank="1" showInputMessage="1" showErrorMessage="1" sqref="P1:Q1">
      <formula1>'[1]Room Type'!$A$1:$A$35</formula1>
    </dataValidation>
    <dataValidation type="list" allowBlank="1" showInputMessage="1" showErrorMessage="1" sqref="R1">
      <formula1>'[2]rate code'!$A$1:$A$35</formula1>
    </dataValidation>
    <dataValidation type="list" allowBlank="1" showInputMessage="1" showErrorMessage="1" sqref="S1">
      <formula1>'[3]Room Type'!$A$1:$A$35</formula1>
    </dataValidation>
    <dataValidation type="list" allowBlank="1" showInputMessage="1" showErrorMessage="1" sqref="T1">
      <formula1>'[4]Room Type'!$A$1:$A$37</formula1>
    </dataValidation>
    <dataValidation type="list" allowBlank="1" showInputMessage="1" showErrorMessage="1" sqref="U1">
      <formula1>'[5]Room Type'!$A$1:$A$35</formula1>
    </dataValidation>
    <dataValidation type="list" allowBlank="1" showInputMessage="1" showErrorMessage="1" sqref="K1">
      <formula1>'[6]Room Type'!$A$1:$A$34</formula1>
    </dataValidation>
    <dataValidation type="list" allowBlank="1" showInputMessage="1" showErrorMessage="1" sqref="M1">
      <formula1>'[7]Room Type'!$A$1:$A$34</formula1>
    </dataValidation>
    <dataValidation type="list" allowBlank="1" showInputMessage="1" showErrorMessage="1" sqref="V1">
      <formula1>'[8]Room Type'!$A$1:$A$37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statment</vt:lpstr>
      <vt:lpstr>contract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creditg</dc:creator>
  <cp:lastModifiedBy>Area-Credit2</cp:lastModifiedBy>
  <cp:lastPrinted>2022-10-27T07:02:22Z</cp:lastPrinted>
  <dcterms:created xsi:type="dcterms:W3CDTF">2016-10-13T07:40:59Z</dcterms:created>
  <dcterms:modified xsi:type="dcterms:W3CDTF">2025-06-29T10:03:24Z</dcterms:modified>
</cp:coreProperties>
</file>