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5480" windowHeight="10920" activeTab="1"/>
  </bookViews>
  <sheets>
    <sheet name="statment" sheetId="12" r:id="rId1"/>
    <sheet name="contract" sheetId="11" r:id="rId2"/>
    <sheet name="spo24.11 to 31.01" sheetId="13" r:id="rId3"/>
  </sheets>
  <externalReferences>
    <externalReference r:id="rId4"/>
    <externalReference r:id="rId5"/>
    <externalReference r:id="rId6"/>
  </externalReferences>
  <definedNames>
    <definedName name="_xlnm._FilterDatabase" localSheetId="0" hidden="1">statment!$C$1:$L$19</definedName>
  </definedNames>
  <calcPr calcId="124519"/>
</workbook>
</file>

<file path=xl/calcChain.xml><?xml version="1.0" encoding="utf-8"?>
<calcChain xmlns="http://schemas.openxmlformats.org/spreadsheetml/2006/main">
  <c r="K124" i="12"/>
  <c r="I124"/>
  <c r="H124"/>
  <c r="I123"/>
  <c r="K123" s="1"/>
  <c r="H123"/>
  <c r="K122"/>
  <c r="I122"/>
  <c r="H122"/>
  <c r="K121"/>
  <c r="I121"/>
  <c r="H121"/>
  <c r="I120"/>
  <c r="K120" s="1"/>
  <c r="H120"/>
  <c r="I119"/>
  <c r="K119" s="1"/>
  <c r="H119"/>
  <c r="K118"/>
  <c r="I118"/>
  <c r="H118"/>
  <c r="I117"/>
  <c r="K117" s="1"/>
  <c r="H117"/>
  <c r="I116"/>
  <c r="K116" s="1"/>
  <c r="H116"/>
  <c r="I115"/>
  <c r="K115" s="1"/>
  <c r="H115"/>
  <c r="K114"/>
  <c r="I114"/>
  <c r="H114"/>
  <c r="I113"/>
  <c r="K113" s="1"/>
  <c r="H113"/>
  <c r="I112"/>
  <c r="K112" s="1"/>
  <c r="H112"/>
  <c r="I111"/>
  <c r="K111" s="1"/>
  <c r="H111"/>
  <c r="I110"/>
  <c r="K110" s="1"/>
  <c r="H110"/>
  <c r="I109"/>
  <c r="K109" s="1"/>
  <c r="H109"/>
  <c r="I108"/>
  <c r="K108" s="1"/>
  <c r="H108"/>
  <c r="K107"/>
  <c r="I107"/>
  <c r="H107"/>
  <c r="K106"/>
  <c r="I106"/>
  <c r="H106"/>
  <c r="K105"/>
  <c r="I105"/>
  <c r="H105"/>
  <c r="K104"/>
  <c r="I104"/>
  <c r="H104"/>
  <c r="K103"/>
  <c r="I103"/>
  <c r="H103"/>
  <c r="I102"/>
  <c r="K102" s="1"/>
  <c r="H102"/>
  <c r="K101"/>
  <c r="I101"/>
  <c r="H101"/>
  <c r="K100"/>
  <c r="I100"/>
  <c r="H100"/>
  <c r="I99"/>
  <c r="K99" s="1"/>
  <c r="H99"/>
  <c r="I98"/>
  <c r="K98" s="1"/>
  <c r="H98"/>
  <c r="I97"/>
  <c r="K97" s="1"/>
  <c r="H97"/>
  <c r="I96"/>
  <c r="K96" s="1"/>
  <c r="H96"/>
  <c r="I95"/>
  <c r="K95" s="1"/>
  <c r="H95"/>
  <c r="K94"/>
  <c r="I94"/>
  <c r="H94"/>
  <c r="K93"/>
  <c r="I93"/>
  <c r="H93"/>
  <c r="K92"/>
  <c r="I92"/>
  <c r="H92"/>
  <c r="K91"/>
  <c r="I91"/>
  <c r="H91"/>
  <c r="K90"/>
  <c r="I90"/>
  <c r="H90"/>
  <c r="K89"/>
  <c r="I89"/>
  <c r="H89"/>
  <c r="K88"/>
  <c r="I88"/>
  <c r="H88"/>
  <c r="I87"/>
  <c r="K87" s="1"/>
  <c r="H87"/>
  <c r="I86"/>
  <c r="K86" s="1"/>
  <c r="H86"/>
  <c r="K85"/>
  <c r="I85"/>
  <c r="H85"/>
  <c r="I84"/>
  <c r="K84" s="1"/>
  <c r="H84"/>
  <c r="I83"/>
  <c r="K83" s="1"/>
  <c r="H83"/>
  <c r="I82"/>
  <c r="K82" s="1"/>
  <c r="H82"/>
  <c r="I81"/>
  <c r="K81" s="1"/>
  <c r="H81"/>
  <c r="I80"/>
  <c r="K80" s="1"/>
  <c r="H80"/>
  <c r="I79"/>
  <c r="K79" s="1"/>
  <c r="H79"/>
  <c r="I78"/>
  <c r="K78" s="1"/>
  <c r="H78"/>
  <c r="K77"/>
  <c r="I77"/>
  <c r="H77"/>
  <c r="K76"/>
  <c r="I76"/>
  <c r="H76"/>
  <c r="K75"/>
  <c r="I75"/>
  <c r="H75"/>
  <c r="K74"/>
  <c r="I74"/>
  <c r="H74"/>
  <c r="K73"/>
  <c r="I73"/>
  <c r="H73"/>
  <c r="I72"/>
  <c r="K72" s="1"/>
  <c r="H72"/>
  <c r="K71"/>
  <c r="I71"/>
  <c r="H71"/>
  <c r="K70"/>
  <c r="I70"/>
  <c r="H70"/>
  <c r="K69"/>
  <c r="I69"/>
  <c r="H69"/>
  <c r="K68"/>
  <c r="I68"/>
  <c r="H68"/>
  <c r="K67"/>
  <c r="I67"/>
  <c r="H67"/>
  <c r="K66"/>
  <c r="I66"/>
  <c r="H66"/>
  <c r="K65"/>
  <c r="I65"/>
  <c r="H65"/>
  <c r="K64"/>
  <c r="I64"/>
  <c r="H64"/>
  <c r="K63"/>
  <c r="I63"/>
  <c r="H63"/>
  <c r="K62"/>
  <c r="I62"/>
  <c r="H62"/>
  <c r="K61"/>
  <c r="I61"/>
  <c r="H61"/>
  <c r="K60"/>
  <c r="I60"/>
  <c r="H60"/>
  <c r="K59"/>
  <c r="I59"/>
  <c r="H59"/>
  <c r="K58"/>
  <c r="I58"/>
  <c r="H58"/>
  <c r="K57"/>
  <c r="I57"/>
  <c r="H57"/>
  <c r="K56"/>
  <c r="I56"/>
  <c r="H56"/>
  <c r="K55"/>
  <c r="I55"/>
  <c r="H55"/>
  <c r="K54"/>
  <c r="I54"/>
  <c r="H54"/>
  <c r="K53"/>
  <c r="I53"/>
  <c r="H53"/>
  <c r="K52"/>
  <c r="I52"/>
  <c r="H52"/>
  <c r="K51"/>
  <c r="I51"/>
  <c r="H51"/>
  <c r="K50"/>
  <c r="I50"/>
  <c r="H50"/>
  <c r="K49"/>
  <c r="I49"/>
  <c r="H49"/>
  <c r="K48"/>
  <c r="I48"/>
  <c r="H48"/>
  <c r="K47"/>
  <c r="I47"/>
  <c r="H47"/>
  <c r="K46"/>
  <c r="I46"/>
  <c r="H46"/>
  <c r="K45"/>
  <c r="I45"/>
  <c r="H45"/>
  <c r="K44"/>
  <c r="I44"/>
  <c r="H44"/>
  <c r="K43"/>
  <c r="I43"/>
  <c r="H43"/>
  <c r="K42"/>
  <c r="I42"/>
  <c r="H42"/>
  <c r="K41"/>
  <c r="I41"/>
  <c r="H41"/>
  <c r="K40"/>
  <c r="I40"/>
  <c r="H40"/>
  <c r="K39"/>
  <c r="I39"/>
  <c r="H39"/>
  <c r="K38"/>
  <c r="I38"/>
  <c r="H38"/>
  <c r="K37"/>
  <c r="I37"/>
  <c r="H37"/>
  <c r="K36"/>
  <c r="I36"/>
  <c r="H36"/>
  <c r="K35"/>
  <c r="I35"/>
  <c r="H35"/>
  <c r="K34"/>
  <c r="I34"/>
  <c r="H34"/>
  <c r="K33"/>
  <c r="I33"/>
  <c r="H33"/>
  <c r="K32"/>
  <c r="I32"/>
  <c r="H32"/>
  <c r="K31"/>
  <c r="I31"/>
  <c r="H31"/>
  <c r="K30"/>
  <c r="I30"/>
  <c r="H30"/>
  <c r="K29"/>
  <c r="I29"/>
  <c r="H29"/>
  <c r="K28"/>
  <c r="I28"/>
  <c r="H28"/>
  <c r="K27"/>
  <c r="I27"/>
  <c r="H27"/>
  <c r="K26"/>
  <c r="I26"/>
  <c r="H26"/>
  <c r="K25"/>
  <c r="I25"/>
  <c r="H25"/>
  <c r="K24"/>
  <c r="I24"/>
  <c r="H24"/>
  <c r="K23"/>
  <c r="I23"/>
  <c r="H23"/>
  <c r="K22"/>
  <c r="I22"/>
  <c r="H22"/>
  <c r="K21"/>
  <c r="I21"/>
  <c r="H21"/>
  <c r="K20"/>
  <c r="I20"/>
  <c r="H20"/>
  <c r="K19"/>
  <c r="I19"/>
  <c r="H19"/>
  <c r="K18"/>
  <c r="I18"/>
  <c r="H18"/>
  <c r="K17"/>
  <c r="I17"/>
  <c r="H17"/>
  <c r="K16"/>
  <c r="I16"/>
  <c r="H16"/>
  <c r="K15"/>
  <c r="I15"/>
  <c r="H15"/>
  <c r="K14"/>
  <c r="I14"/>
  <c r="H14"/>
  <c r="K13"/>
  <c r="I13"/>
  <c r="H13"/>
  <c r="K12"/>
  <c r="I12"/>
  <c r="H12"/>
  <c r="K11"/>
  <c r="I11"/>
  <c r="H11"/>
  <c r="K10"/>
  <c r="I10"/>
  <c r="H10"/>
  <c r="K9"/>
  <c r="I9"/>
  <c r="H9"/>
  <c r="K8"/>
  <c r="I8"/>
  <c r="H8"/>
  <c r="K7"/>
  <c r="I7"/>
  <c r="H7"/>
  <c r="K6"/>
  <c r="I6"/>
  <c r="H6"/>
  <c r="K5"/>
  <c r="I5"/>
  <c r="H5"/>
  <c r="K4"/>
  <c r="I4"/>
  <c r="H4"/>
  <c r="K3"/>
  <c r="I3"/>
  <c r="H3"/>
  <c r="K2"/>
  <c r="I2"/>
  <c r="H2"/>
  <c r="G4" i="13" l="1"/>
  <c r="F4"/>
  <c r="E4"/>
  <c r="D4"/>
  <c r="C4"/>
  <c r="G2"/>
  <c r="F2"/>
  <c r="E2"/>
  <c r="D2"/>
  <c r="C2"/>
  <c r="G3"/>
  <c r="F3"/>
  <c r="E3"/>
  <c r="D3"/>
  <c r="G3" i="11"/>
  <c r="F3"/>
  <c r="E3"/>
  <c r="D3"/>
</calcChain>
</file>

<file path=xl/comments1.xml><?xml version="1.0" encoding="utf-8"?>
<comments xmlns="http://schemas.openxmlformats.org/spreadsheetml/2006/main">
  <authors>
    <author>Area-Credit2</author>
  </authors>
  <commentList>
    <comment ref="C79" authorId="0">
      <text>
        <r>
          <rPr>
            <b/>
            <sz val="9"/>
            <color indexed="81"/>
            <rFont val="Tahoma"/>
            <family val="2"/>
          </rPr>
          <t xml:space="preserve">تم حجز الغرف double لكن جيه واحد بس وتم عملها single ؟!!!!!!
</t>
        </r>
      </text>
    </comment>
  </commentList>
</comments>
</file>

<file path=xl/sharedStrings.xml><?xml version="1.0" encoding="utf-8"?>
<sst xmlns="http://schemas.openxmlformats.org/spreadsheetml/2006/main" count="235" uniqueCount="34">
  <si>
    <t>Night</t>
  </si>
  <si>
    <t>Arrival</t>
  </si>
  <si>
    <t>Departure</t>
  </si>
  <si>
    <t>Rate code</t>
  </si>
  <si>
    <t>first date</t>
  </si>
  <si>
    <t>second date</t>
  </si>
  <si>
    <t>Amount-hotel</t>
  </si>
  <si>
    <t>Booking No.</t>
  </si>
  <si>
    <t>SGL+CH</t>
  </si>
  <si>
    <t>TPL</t>
  </si>
  <si>
    <t xml:space="preserve">DBL-BUNG </t>
  </si>
  <si>
    <t>SGL-BUNG</t>
  </si>
  <si>
    <t>Res_date</t>
  </si>
  <si>
    <t xml:space="preserve">DBL(CH)-BUNG </t>
  </si>
  <si>
    <t xml:space="preserve">TPL-BUNG </t>
  </si>
  <si>
    <t>Invoice No.</t>
  </si>
  <si>
    <t>Rate $</t>
  </si>
  <si>
    <t>38-50-25</t>
  </si>
  <si>
    <t>56-100</t>
  </si>
  <si>
    <t>56-100-25</t>
  </si>
  <si>
    <t>84-150</t>
  </si>
  <si>
    <t>78-150</t>
  </si>
  <si>
    <t xml:space="preserve">DBLCH-BUNG </t>
  </si>
  <si>
    <t>70-150-25</t>
  </si>
  <si>
    <t>56-50-25</t>
  </si>
  <si>
    <t>38-50</t>
  </si>
  <si>
    <t>78-150-25</t>
  </si>
  <si>
    <t>38-30.40</t>
  </si>
  <si>
    <t>56-44.80</t>
  </si>
  <si>
    <t>70-100-50</t>
  </si>
  <si>
    <t>70-100-25-25</t>
  </si>
  <si>
    <t>78-62.40</t>
  </si>
  <si>
    <t>70-56</t>
  </si>
  <si>
    <t>pax</t>
  </si>
</sst>
</file>

<file path=xl/styles.xml><?xml version="1.0" encoding="utf-8"?>
<styleSheet xmlns="http://schemas.openxmlformats.org/spreadsheetml/2006/main">
  <numFmts count="1">
    <numFmt numFmtId="164" formatCode="_-* #,##0.00_-;_-* #,##0.00\-;_-* &quot;-&quot;??_-;_-@_-"/>
  </numFmts>
  <fonts count="16">
    <font>
      <sz val="10"/>
      <name val="Arial"/>
      <charset val="178"/>
    </font>
    <font>
      <sz val="10"/>
      <name val="Arial"/>
      <family val="2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8"/>
      <color indexed="8"/>
      <name val="MS Sans Serif"/>
      <family val="2"/>
      <charset val="178"/>
    </font>
    <font>
      <sz val="11"/>
      <color indexed="8"/>
      <name val="Times New Roman"/>
      <family val="1"/>
      <charset val="178"/>
    </font>
    <font>
      <sz val="12"/>
      <color indexed="8"/>
      <name val="Times New Roman"/>
      <family val="1"/>
    </font>
    <font>
      <sz val="11"/>
      <color rgb="FF7D353B"/>
      <name val="Courier New"/>
      <family val="3"/>
    </font>
    <font>
      <sz val="12"/>
      <color rgb="FFFF0000"/>
      <name val="Times New Roman"/>
      <family val="1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2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NumberFormat="1" applyFont="1" applyBorder="1" applyAlignment="1"/>
    <xf numFmtId="0" fontId="7" fillId="0" borderId="0" xfId="0" applyNumberFormat="1" applyFont="1" applyBorder="1"/>
    <xf numFmtId="0" fontId="2" fillId="2" borderId="3" xfId="0" applyFont="1" applyFill="1" applyBorder="1" applyAlignment="1">
      <alignment horizontal="center" vertical="center"/>
    </xf>
    <xf numFmtId="14" fontId="7" fillId="0" borderId="2" xfId="0" applyNumberFormat="1" applyFont="1" applyBorder="1"/>
    <xf numFmtId="0" fontId="7" fillId="3" borderId="2" xfId="0" applyNumberFormat="1" applyFont="1" applyFill="1" applyBorder="1" applyAlignment="1">
      <alignment horizontal="center"/>
    </xf>
    <xf numFmtId="0" fontId="7" fillId="4" borderId="2" xfId="0" applyNumberFormat="1" applyFont="1" applyFill="1" applyBorder="1" applyAlignment="1">
      <alignment horizontal="center"/>
    </xf>
    <xf numFmtId="0" fontId="8" fillId="0" borderId="3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/>
    <xf numFmtId="14" fontId="11" fillId="0" borderId="1" xfId="0" applyNumberFormat="1" applyFont="1" applyBorder="1" applyAlignment="1">
      <alignment horizontal="center"/>
    </xf>
    <xf numFmtId="14" fontId="12" fillId="0" borderId="4" xfId="0" applyNumberFormat="1" applyFont="1" applyFill="1" applyBorder="1" applyAlignment="1">
      <alignment horizontal="center"/>
    </xf>
    <xf numFmtId="0" fontId="13" fillId="2" borderId="0" xfId="0" applyFont="1" applyFill="1"/>
    <xf numFmtId="14" fontId="12" fillId="6" borderId="1" xfId="0" applyNumberFormat="1" applyFont="1" applyFill="1" applyBorder="1" applyAlignment="1">
      <alignment horizontal="center"/>
    </xf>
    <xf numFmtId="14" fontId="12" fillId="0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0" fontId="12" fillId="5" borderId="1" xfId="0" applyNumberFormat="1" applyFont="1" applyFill="1" applyBorder="1" applyAlignment="1">
      <alignment horizontal="center"/>
    </xf>
    <xf numFmtId="14" fontId="12" fillId="5" borderId="1" xfId="1" applyNumberFormat="1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/>
    </xf>
    <xf numFmtId="3" fontId="12" fillId="0" borderId="1" xfId="1" applyNumberFormat="1" applyFont="1" applyFill="1" applyBorder="1" applyAlignment="1">
      <alignment horizontal="center"/>
    </xf>
    <xf numFmtId="164" fontId="12" fillId="0" borderId="1" xfId="1" applyFont="1" applyFill="1" applyBorder="1" applyAlignment="1">
      <alignment horizontal="right" vertical="center"/>
    </xf>
    <xf numFmtId="164" fontId="12" fillId="0" borderId="5" xfId="0" applyNumberFormat="1" applyFont="1" applyFill="1" applyBorder="1" applyAlignment="1">
      <alignment horizontal="center" vertical="center"/>
    </xf>
    <xf numFmtId="3" fontId="12" fillId="5" borderId="1" xfId="1" applyNumberFormat="1" applyFont="1" applyFill="1" applyBorder="1" applyAlignment="1">
      <alignment horizontal="center"/>
    </xf>
    <xf numFmtId="164" fontId="12" fillId="5" borderId="1" xfId="1" applyFont="1" applyFill="1" applyBorder="1" applyAlignment="1">
      <alignment horizontal="right" vertical="center"/>
    </xf>
    <xf numFmtId="164" fontId="12" fillId="5" borderId="5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/>
    </xf>
    <xf numFmtId="0" fontId="14" fillId="5" borderId="1" xfId="0" applyNumberFormat="1" applyFont="1" applyFill="1" applyBorder="1" applyAlignment="1">
      <alignment horizontal="center"/>
    </xf>
  </cellXfs>
  <cellStyles count="32">
    <cellStyle name="Comma" xfId="1" builtinId="3"/>
    <cellStyle name="Normal" xfId="0" builtinId="0"/>
    <cellStyle name="Normal 10 2" xfId="2"/>
    <cellStyle name="Normal 10 3" xfId="3"/>
    <cellStyle name="Normal 10 4" xfId="4"/>
    <cellStyle name="Normal 151" xfId="5"/>
    <cellStyle name="Normal 155" xfId="28"/>
    <cellStyle name="Normal 156" xfId="31"/>
    <cellStyle name="Normal 159" xfId="30"/>
    <cellStyle name="Normal 184" xfId="6"/>
    <cellStyle name="Normal 19 2" xfId="7"/>
    <cellStyle name="Normal 19 3" xfId="8"/>
    <cellStyle name="Normal 19 4" xfId="9"/>
    <cellStyle name="Normal 2 2" xfId="10"/>
    <cellStyle name="Normal 2 3" xfId="11"/>
    <cellStyle name="Normal 2 4" xfId="12"/>
    <cellStyle name="Normal 20 2" xfId="13"/>
    <cellStyle name="Normal 20 3" xfId="14"/>
    <cellStyle name="Normal 20 4" xfId="15"/>
    <cellStyle name="Normal 23 2" xfId="16"/>
    <cellStyle name="Normal 23 3" xfId="17"/>
    <cellStyle name="Normal 23 4" xfId="18"/>
    <cellStyle name="Normal 37 2" xfId="19"/>
    <cellStyle name="Normal 37 3" xfId="20"/>
    <cellStyle name="Normal 37 4" xfId="21"/>
    <cellStyle name="Normal 38 2" xfId="22"/>
    <cellStyle name="Normal 38 3" xfId="23"/>
    <cellStyle name="Normal 38 4" xfId="24"/>
    <cellStyle name="Normal 8" xfId="29"/>
    <cellStyle name="Normal 9 2" xfId="25"/>
    <cellStyle name="Normal 9 3" xfId="26"/>
    <cellStyle name="Normal 9 4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24</xdr:row>
      <xdr:rowOff>38100</xdr:rowOff>
    </xdr:from>
    <xdr:to>
      <xdr:col>9</xdr:col>
      <xdr:colOff>495300</xdr:colOff>
      <xdr:row>39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71925" y="4400550"/>
          <a:ext cx="3505200" cy="24193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13</xdr:row>
      <xdr:rowOff>38100</xdr:rowOff>
    </xdr:from>
    <xdr:to>
      <xdr:col>21</xdr:col>
      <xdr:colOff>487804</xdr:colOff>
      <xdr:row>32</xdr:row>
      <xdr:rowOff>152846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457450"/>
          <a:ext cx="14527654" cy="31913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31.12/Copy%20of%20EXIM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Desktop\SIVA%20GOLDEN%20BAY%202025\Der%20tour%20Exim%20Jan%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v 24"/>
      <sheetName val="ROOM TYPE"/>
      <sheetName val="system"/>
      <sheetName val="Summary 1"/>
      <sheetName val="Summary 2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 2025"/>
      <sheetName val="ROOM TYPE"/>
      <sheetName val="system"/>
      <sheetName val="reservation "/>
      <sheetName val="reservation 12 dec"/>
      <sheetName val="reservation jan 2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workbookViewId="0">
      <selection activeCell="A125" sqref="A125:XFD169"/>
    </sheetView>
  </sheetViews>
  <sheetFormatPr defaultRowHeight="12.75"/>
  <cols>
    <col min="2" max="2" width="16.140625" bestFit="1" customWidth="1"/>
    <col min="3" max="3" width="18.85546875" bestFit="1" customWidth="1"/>
    <col min="4" max="5" width="18.85546875" customWidth="1"/>
    <col min="6" max="6" width="13" bestFit="1" customWidth="1"/>
    <col min="7" max="7" width="13.42578125" bestFit="1" customWidth="1"/>
    <col min="8" max="8" width="13.42578125" customWidth="1"/>
    <col min="9" max="9" width="17.85546875" bestFit="1" customWidth="1"/>
    <col min="10" max="10" width="13" bestFit="1" customWidth="1"/>
    <col min="11" max="11" width="21.7109375" bestFit="1" customWidth="1"/>
    <col min="12" max="12" width="17.140625" bestFit="1" customWidth="1"/>
  </cols>
  <sheetData>
    <row r="1" spans="1:11" ht="20.25" thickTop="1" thickBot="1">
      <c r="B1" s="15" t="s">
        <v>7</v>
      </c>
      <c r="C1" s="15" t="s">
        <v>15</v>
      </c>
      <c r="D1" s="12" t="s">
        <v>12</v>
      </c>
      <c r="E1" s="4" t="s">
        <v>1</v>
      </c>
      <c r="F1" s="4" t="s">
        <v>2</v>
      </c>
      <c r="G1" s="4" t="s">
        <v>3</v>
      </c>
      <c r="H1" s="4" t="s">
        <v>33</v>
      </c>
      <c r="I1" s="15" t="s">
        <v>0</v>
      </c>
      <c r="J1" s="15" t="s">
        <v>16</v>
      </c>
      <c r="K1" s="4" t="s">
        <v>6</v>
      </c>
    </row>
    <row r="2" spans="1:11" s="1" customFormat="1" ht="17.25" thickTop="1" thickBot="1">
      <c r="A2" s="16"/>
      <c r="B2" s="17">
        <v>191396577</v>
      </c>
      <c r="C2" s="18">
        <v>14651</v>
      </c>
      <c r="D2" s="19">
        <v>45550</v>
      </c>
      <c r="E2" s="19">
        <v>45651</v>
      </c>
      <c r="F2" s="20">
        <v>45658</v>
      </c>
      <c r="G2" s="21" t="s">
        <v>11</v>
      </c>
      <c r="H2" s="17">
        <f>IF(LEFT(G2,3)="SGL",1,IF(LEFT(G2,3)="DBL",2,IF(LEFT(G2,3)="TPL",3,IF(LEFT(G2,7)="DBL(CH)",3))))</f>
        <v>1</v>
      </c>
      <c r="I2" s="22">
        <f>+F2-E2</f>
        <v>7</v>
      </c>
      <c r="J2" s="23" t="s">
        <v>17</v>
      </c>
      <c r="K2" s="24">
        <f>38*7+50+25</f>
        <v>341</v>
      </c>
    </row>
    <row r="3" spans="1:11" s="1" customFormat="1" ht="17.25" thickTop="1" thickBot="1">
      <c r="A3" s="16"/>
      <c r="B3" s="17">
        <v>191396293</v>
      </c>
      <c r="C3" s="18">
        <v>14652</v>
      </c>
      <c r="D3" s="19">
        <v>45552</v>
      </c>
      <c r="E3" s="19">
        <v>45651</v>
      </c>
      <c r="F3" s="20">
        <v>45658</v>
      </c>
      <c r="G3" s="21" t="s">
        <v>10</v>
      </c>
      <c r="H3" s="17">
        <f t="shared" ref="H3:H66" si="0">IF(LEFT(G3,3)="SGL",1,IF(LEFT(G3,3)="DBL",2,IF(LEFT(G3,3)="TPL",3,IF(LEFT(G3,7)="DBL(CH)",3))))</f>
        <v>2</v>
      </c>
      <c r="I3" s="22">
        <f t="shared" ref="I3:I66" si="1">+F3-E3</f>
        <v>7</v>
      </c>
      <c r="J3" s="23" t="s">
        <v>18</v>
      </c>
      <c r="K3" s="24">
        <f>56*7+100</f>
        <v>492</v>
      </c>
    </row>
    <row r="4" spans="1:11" ht="17.25" thickTop="1" thickBot="1">
      <c r="B4" s="17">
        <v>191396649</v>
      </c>
      <c r="C4" s="18">
        <v>14653</v>
      </c>
      <c r="D4" s="19">
        <v>45553</v>
      </c>
      <c r="E4" s="19">
        <v>45651</v>
      </c>
      <c r="F4" s="20">
        <v>45658</v>
      </c>
      <c r="G4" s="21" t="s">
        <v>10</v>
      </c>
      <c r="H4" s="17">
        <f t="shared" si="0"/>
        <v>2</v>
      </c>
      <c r="I4" s="22">
        <f t="shared" si="1"/>
        <v>7</v>
      </c>
      <c r="J4" s="23" t="s">
        <v>18</v>
      </c>
      <c r="K4" s="24">
        <f>56*7+100</f>
        <v>492</v>
      </c>
    </row>
    <row r="5" spans="1:11" ht="17.25" thickTop="1" thickBot="1">
      <c r="B5" s="17">
        <v>191396649</v>
      </c>
      <c r="C5" s="18">
        <v>14654</v>
      </c>
      <c r="D5" s="19">
        <v>45553</v>
      </c>
      <c r="E5" s="19">
        <v>45651</v>
      </c>
      <c r="F5" s="20">
        <v>45658</v>
      </c>
      <c r="G5" s="21" t="s">
        <v>10</v>
      </c>
      <c r="H5" s="17">
        <f t="shared" si="0"/>
        <v>2</v>
      </c>
      <c r="I5" s="22">
        <f t="shared" si="1"/>
        <v>7</v>
      </c>
      <c r="J5" s="23" t="s">
        <v>18</v>
      </c>
      <c r="K5" s="24">
        <f>56*7+100</f>
        <v>492</v>
      </c>
    </row>
    <row r="6" spans="1:11" ht="17.25" thickTop="1" thickBot="1">
      <c r="B6" s="17">
        <v>191424534</v>
      </c>
      <c r="C6" s="18">
        <v>14655</v>
      </c>
      <c r="D6" s="19">
        <v>45570</v>
      </c>
      <c r="E6" s="19">
        <v>45651</v>
      </c>
      <c r="F6" s="20">
        <v>45658</v>
      </c>
      <c r="G6" s="21" t="s">
        <v>11</v>
      </c>
      <c r="H6" s="17">
        <f t="shared" si="0"/>
        <v>1</v>
      </c>
      <c r="I6" s="22">
        <f t="shared" si="1"/>
        <v>7</v>
      </c>
      <c r="J6" s="23" t="s">
        <v>17</v>
      </c>
      <c r="K6" s="24">
        <f>38*7+50+25</f>
        <v>341</v>
      </c>
    </row>
    <row r="7" spans="1:11" ht="17.25" thickTop="1" thickBot="1">
      <c r="B7" s="17">
        <v>723244062</v>
      </c>
      <c r="C7" s="18">
        <v>14704</v>
      </c>
      <c r="D7" s="19">
        <v>45454</v>
      </c>
      <c r="E7" s="19">
        <v>45648</v>
      </c>
      <c r="F7" s="20">
        <v>45659</v>
      </c>
      <c r="G7" s="21" t="s">
        <v>10</v>
      </c>
      <c r="H7" s="17">
        <f t="shared" si="0"/>
        <v>2</v>
      </c>
      <c r="I7" s="22">
        <f t="shared" si="1"/>
        <v>11</v>
      </c>
      <c r="J7" s="23" t="s">
        <v>19</v>
      </c>
      <c r="K7" s="24">
        <f>56*11+100+25</f>
        <v>741</v>
      </c>
    </row>
    <row r="8" spans="1:11" ht="17.25" thickTop="1" thickBot="1">
      <c r="B8" s="17">
        <v>723244487</v>
      </c>
      <c r="C8" s="18">
        <v>14705</v>
      </c>
      <c r="D8" s="19">
        <v>45454</v>
      </c>
      <c r="E8" s="19">
        <v>45648</v>
      </c>
      <c r="F8" s="20">
        <v>45659</v>
      </c>
      <c r="G8" s="21" t="s">
        <v>14</v>
      </c>
      <c r="H8" s="17">
        <f t="shared" si="0"/>
        <v>3</v>
      </c>
      <c r="I8" s="22">
        <f t="shared" si="1"/>
        <v>11</v>
      </c>
      <c r="J8" s="23" t="s">
        <v>20</v>
      </c>
      <c r="K8" s="24">
        <f>84*11+150</f>
        <v>1074</v>
      </c>
    </row>
    <row r="9" spans="1:11" ht="17.25" thickTop="1" thickBot="1">
      <c r="B9" s="17">
        <v>723244512</v>
      </c>
      <c r="C9" s="18">
        <v>14706</v>
      </c>
      <c r="D9" s="19">
        <v>45454</v>
      </c>
      <c r="E9" s="19">
        <v>45648</v>
      </c>
      <c r="F9" s="20">
        <v>45659</v>
      </c>
      <c r="G9" s="21" t="s">
        <v>10</v>
      </c>
      <c r="H9" s="17">
        <f t="shared" si="0"/>
        <v>2</v>
      </c>
      <c r="I9" s="22">
        <f t="shared" si="1"/>
        <v>11</v>
      </c>
      <c r="J9" s="23" t="s">
        <v>19</v>
      </c>
      <c r="K9" s="24">
        <f>56*11+100+25</f>
        <v>741</v>
      </c>
    </row>
    <row r="10" spans="1:11" ht="17.25" thickTop="1" thickBot="1">
      <c r="B10" s="17">
        <v>723262715</v>
      </c>
      <c r="C10" s="18">
        <v>14707</v>
      </c>
      <c r="D10" s="19">
        <v>45481</v>
      </c>
      <c r="E10" s="19">
        <v>45652</v>
      </c>
      <c r="F10" s="20">
        <v>45659</v>
      </c>
      <c r="G10" s="21" t="s">
        <v>10</v>
      </c>
      <c r="H10" s="17">
        <f t="shared" si="0"/>
        <v>2</v>
      </c>
      <c r="I10" s="22">
        <f t="shared" si="1"/>
        <v>7</v>
      </c>
      <c r="J10" s="23" t="s">
        <v>19</v>
      </c>
      <c r="K10" s="24">
        <f>56*7+100+25</f>
        <v>517</v>
      </c>
    </row>
    <row r="11" spans="1:11" ht="17.25" thickTop="1" thickBot="1">
      <c r="B11" s="17">
        <v>723262827</v>
      </c>
      <c r="C11" s="18">
        <v>14708</v>
      </c>
      <c r="D11" s="19">
        <v>45481</v>
      </c>
      <c r="E11" s="19">
        <v>45652</v>
      </c>
      <c r="F11" s="20">
        <v>45659</v>
      </c>
      <c r="G11" s="21" t="s">
        <v>10</v>
      </c>
      <c r="H11" s="17">
        <f t="shared" si="0"/>
        <v>2</v>
      </c>
      <c r="I11" s="22">
        <f t="shared" si="1"/>
        <v>7</v>
      </c>
      <c r="J11" s="23" t="s">
        <v>19</v>
      </c>
      <c r="K11" s="24">
        <f>56*7+100+25</f>
        <v>517</v>
      </c>
    </row>
    <row r="12" spans="1:11" ht="17.25" thickTop="1" thickBot="1">
      <c r="B12" s="17">
        <v>723230889</v>
      </c>
      <c r="C12" s="18">
        <v>14709</v>
      </c>
      <c r="D12" s="19">
        <v>45429</v>
      </c>
      <c r="E12" s="19">
        <v>45652</v>
      </c>
      <c r="F12" s="20">
        <v>45659</v>
      </c>
      <c r="G12" s="21" t="s">
        <v>10</v>
      </c>
      <c r="H12" s="17">
        <f t="shared" si="0"/>
        <v>2</v>
      </c>
      <c r="I12" s="22">
        <f t="shared" si="1"/>
        <v>7</v>
      </c>
      <c r="J12" s="23" t="s">
        <v>19</v>
      </c>
      <c r="K12" s="24">
        <f>56*7+100+25</f>
        <v>517</v>
      </c>
    </row>
    <row r="13" spans="1:11" ht="17.25" thickTop="1" thickBot="1">
      <c r="B13" s="17">
        <v>723362368</v>
      </c>
      <c r="C13" s="18">
        <v>14710</v>
      </c>
      <c r="D13" s="19">
        <v>45614</v>
      </c>
      <c r="E13" s="19">
        <v>45652</v>
      </c>
      <c r="F13" s="20">
        <v>45659</v>
      </c>
      <c r="G13" s="21" t="s">
        <v>10</v>
      </c>
      <c r="H13" s="17">
        <f t="shared" si="0"/>
        <v>2</v>
      </c>
      <c r="I13" s="22">
        <f t="shared" si="1"/>
        <v>7</v>
      </c>
      <c r="J13" s="23" t="s">
        <v>18</v>
      </c>
      <c r="K13" s="24">
        <f>56*7+100</f>
        <v>492</v>
      </c>
    </row>
    <row r="14" spans="1:11" ht="17.25" thickTop="1" thickBot="1">
      <c r="B14" s="17">
        <v>723362373</v>
      </c>
      <c r="C14" s="18">
        <v>14711</v>
      </c>
      <c r="D14" s="19">
        <v>45614</v>
      </c>
      <c r="E14" s="19">
        <v>45652</v>
      </c>
      <c r="F14" s="20">
        <v>45659</v>
      </c>
      <c r="G14" s="21" t="s">
        <v>10</v>
      </c>
      <c r="H14" s="17">
        <f t="shared" si="0"/>
        <v>2</v>
      </c>
      <c r="I14" s="22">
        <f t="shared" si="1"/>
        <v>7</v>
      </c>
      <c r="J14" s="23" t="s">
        <v>18</v>
      </c>
      <c r="K14" s="24">
        <f>56*7+100</f>
        <v>492</v>
      </c>
    </row>
    <row r="15" spans="1:11" ht="17.25" thickTop="1" thickBot="1">
      <c r="B15" s="17">
        <v>723301002</v>
      </c>
      <c r="C15" s="18">
        <v>14712</v>
      </c>
      <c r="D15" s="19">
        <v>45532</v>
      </c>
      <c r="E15" s="19">
        <v>45648</v>
      </c>
      <c r="F15" s="20">
        <v>45659</v>
      </c>
      <c r="G15" s="21" t="s">
        <v>10</v>
      </c>
      <c r="H15" s="17">
        <f t="shared" si="0"/>
        <v>2</v>
      </c>
      <c r="I15" s="22">
        <f t="shared" si="1"/>
        <v>11</v>
      </c>
      <c r="J15" s="23" t="s">
        <v>18</v>
      </c>
      <c r="K15" s="24">
        <f>56*11+100</f>
        <v>716</v>
      </c>
    </row>
    <row r="16" spans="1:11" ht="17.25" thickTop="1" thickBot="1">
      <c r="B16" s="17">
        <v>723301014</v>
      </c>
      <c r="C16" s="18">
        <v>14713</v>
      </c>
      <c r="D16" s="19">
        <v>45532</v>
      </c>
      <c r="E16" s="19">
        <v>45648</v>
      </c>
      <c r="F16" s="20">
        <v>45659</v>
      </c>
      <c r="G16" s="21" t="s">
        <v>10</v>
      </c>
      <c r="H16" s="17">
        <f t="shared" si="0"/>
        <v>2</v>
      </c>
      <c r="I16" s="22">
        <f t="shared" si="1"/>
        <v>11</v>
      </c>
      <c r="J16" s="23" t="s">
        <v>19</v>
      </c>
      <c r="K16" s="24">
        <f>56*11+100+25</f>
        <v>741</v>
      </c>
    </row>
    <row r="17" spans="1:11" ht="17.25" thickTop="1" thickBot="1">
      <c r="B17" s="17">
        <v>191491924</v>
      </c>
      <c r="C17" s="18">
        <v>14714</v>
      </c>
      <c r="D17" s="19">
        <v>45618</v>
      </c>
      <c r="E17" s="19">
        <v>45652</v>
      </c>
      <c r="F17" s="20">
        <v>45659</v>
      </c>
      <c r="G17" s="21" t="s">
        <v>14</v>
      </c>
      <c r="H17" s="17">
        <f t="shared" si="0"/>
        <v>3</v>
      </c>
      <c r="I17" s="22">
        <f t="shared" si="1"/>
        <v>7</v>
      </c>
      <c r="J17" s="23" t="s">
        <v>21</v>
      </c>
      <c r="K17" s="24">
        <f>78*7+150</f>
        <v>696</v>
      </c>
    </row>
    <row r="18" spans="1:11" ht="17.25" thickTop="1" thickBot="1">
      <c r="B18" s="17">
        <v>191281314</v>
      </c>
      <c r="C18" s="18">
        <v>14745</v>
      </c>
      <c r="D18" s="19">
        <v>45521</v>
      </c>
      <c r="E18" s="19">
        <v>45647</v>
      </c>
      <c r="F18" s="20">
        <v>45660</v>
      </c>
      <c r="G18" s="21" t="s">
        <v>10</v>
      </c>
      <c r="H18" s="17">
        <f t="shared" si="0"/>
        <v>2</v>
      </c>
      <c r="I18" s="22">
        <f t="shared" si="1"/>
        <v>13</v>
      </c>
      <c r="J18" s="23" t="s">
        <v>18</v>
      </c>
      <c r="K18" s="24">
        <f>56*13+100</f>
        <v>828</v>
      </c>
    </row>
    <row r="19" spans="1:11" ht="17.25" thickTop="1" thickBot="1">
      <c r="B19" s="17">
        <v>191151196</v>
      </c>
      <c r="C19" s="18">
        <v>14746</v>
      </c>
      <c r="D19" s="19">
        <v>45521</v>
      </c>
      <c r="E19" s="19">
        <v>45653</v>
      </c>
      <c r="F19" s="20">
        <v>45660</v>
      </c>
      <c r="G19" s="21" t="s">
        <v>10</v>
      </c>
      <c r="H19" s="17">
        <f t="shared" si="0"/>
        <v>2</v>
      </c>
      <c r="I19" s="22">
        <f t="shared" si="1"/>
        <v>7</v>
      </c>
      <c r="J19" s="23" t="s">
        <v>18</v>
      </c>
      <c r="K19" s="24">
        <f>56*7+100</f>
        <v>492</v>
      </c>
    </row>
    <row r="20" spans="1:11" s="1" customFormat="1" ht="17.25" thickTop="1" thickBot="1">
      <c r="A20" s="16"/>
      <c r="B20" s="17">
        <v>191324041</v>
      </c>
      <c r="C20" s="18">
        <v>14747</v>
      </c>
      <c r="D20" s="19">
        <v>45521</v>
      </c>
      <c r="E20" s="19">
        <v>45653</v>
      </c>
      <c r="F20" s="20">
        <v>45660</v>
      </c>
      <c r="G20" s="21" t="s">
        <v>10</v>
      </c>
      <c r="H20" s="17">
        <f t="shared" si="0"/>
        <v>2</v>
      </c>
      <c r="I20" s="22">
        <f t="shared" si="1"/>
        <v>7</v>
      </c>
      <c r="J20" s="23" t="s">
        <v>18</v>
      </c>
      <c r="K20" s="24">
        <f>56*7+100</f>
        <v>492</v>
      </c>
    </row>
    <row r="21" spans="1:11" ht="17.25" thickTop="1" thickBot="1">
      <c r="B21" s="17">
        <v>191321389</v>
      </c>
      <c r="C21" s="18">
        <v>14748</v>
      </c>
      <c r="D21" s="19">
        <v>45521</v>
      </c>
      <c r="E21" s="19">
        <v>45654</v>
      </c>
      <c r="F21" s="20">
        <v>45660</v>
      </c>
      <c r="G21" s="21" t="s">
        <v>10</v>
      </c>
      <c r="H21" s="17">
        <f t="shared" si="0"/>
        <v>2</v>
      </c>
      <c r="I21" s="22">
        <f t="shared" si="1"/>
        <v>6</v>
      </c>
      <c r="J21" s="23" t="s">
        <v>18</v>
      </c>
      <c r="K21" s="24">
        <f>56*6+100</f>
        <v>436</v>
      </c>
    </row>
    <row r="22" spans="1:11" ht="17.25" thickTop="1" thickBot="1">
      <c r="B22" s="17">
        <v>191410342</v>
      </c>
      <c r="C22" s="18">
        <v>14749</v>
      </c>
      <c r="D22" s="19">
        <v>45559</v>
      </c>
      <c r="E22" s="19">
        <v>45653</v>
      </c>
      <c r="F22" s="20">
        <v>45660</v>
      </c>
      <c r="G22" s="21" t="s">
        <v>10</v>
      </c>
      <c r="H22" s="17">
        <f t="shared" si="0"/>
        <v>2</v>
      </c>
      <c r="I22" s="22">
        <f t="shared" si="1"/>
        <v>7</v>
      </c>
      <c r="J22" s="23" t="s">
        <v>18</v>
      </c>
      <c r="K22" s="24">
        <f>56*7+100</f>
        <v>492</v>
      </c>
    </row>
    <row r="23" spans="1:11" ht="17.25" thickTop="1" thickBot="1">
      <c r="B23" s="17">
        <v>191413193</v>
      </c>
      <c r="C23" s="18">
        <v>14750</v>
      </c>
      <c r="D23" s="19">
        <v>45562</v>
      </c>
      <c r="E23" s="19">
        <v>45653</v>
      </c>
      <c r="F23" s="20">
        <v>45660</v>
      </c>
      <c r="G23" s="21" t="s">
        <v>10</v>
      </c>
      <c r="H23" s="17">
        <f t="shared" si="0"/>
        <v>2</v>
      </c>
      <c r="I23" s="22">
        <f t="shared" si="1"/>
        <v>7</v>
      </c>
      <c r="J23" s="23" t="s">
        <v>18</v>
      </c>
      <c r="K23" s="24">
        <f>56*7+100</f>
        <v>492</v>
      </c>
    </row>
    <row r="24" spans="1:11" ht="17.25" thickTop="1" thickBot="1">
      <c r="B24" s="17">
        <v>191432529</v>
      </c>
      <c r="C24" s="18">
        <v>14751</v>
      </c>
      <c r="D24" s="19">
        <v>45576</v>
      </c>
      <c r="E24" s="19">
        <v>45653</v>
      </c>
      <c r="F24" s="20">
        <v>45660</v>
      </c>
      <c r="G24" s="21" t="s">
        <v>10</v>
      </c>
      <c r="H24" s="17">
        <f t="shared" si="0"/>
        <v>2</v>
      </c>
      <c r="I24" s="22">
        <f t="shared" si="1"/>
        <v>7</v>
      </c>
      <c r="J24" s="23" t="s">
        <v>18</v>
      </c>
      <c r="K24" s="24">
        <f>56*7+100</f>
        <v>492</v>
      </c>
    </row>
    <row r="25" spans="1:11" ht="17.25" thickTop="1" thickBot="1">
      <c r="B25" s="17">
        <v>191446435</v>
      </c>
      <c r="C25" s="18">
        <v>14752</v>
      </c>
      <c r="D25" s="19">
        <v>45590</v>
      </c>
      <c r="E25" s="19">
        <v>45653</v>
      </c>
      <c r="F25" s="20">
        <v>45660</v>
      </c>
      <c r="G25" s="21" t="s">
        <v>10</v>
      </c>
      <c r="H25" s="17">
        <f t="shared" si="0"/>
        <v>2</v>
      </c>
      <c r="I25" s="22">
        <f t="shared" si="1"/>
        <v>7</v>
      </c>
      <c r="J25" s="23" t="s">
        <v>18</v>
      </c>
      <c r="K25" s="24">
        <f>56*7+100</f>
        <v>492</v>
      </c>
    </row>
    <row r="26" spans="1:11" ht="17.25" thickTop="1" thickBot="1">
      <c r="B26" s="17">
        <v>191459576</v>
      </c>
      <c r="C26" s="18">
        <v>14753</v>
      </c>
      <c r="D26" s="19">
        <v>45597</v>
      </c>
      <c r="E26" s="19">
        <v>45653</v>
      </c>
      <c r="F26" s="20">
        <v>45660</v>
      </c>
      <c r="G26" s="21" t="s">
        <v>22</v>
      </c>
      <c r="H26" s="17">
        <f t="shared" si="0"/>
        <v>2</v>
      </c>
      <c r="I26" s="22">
        <f t="shared" si="1"/>
        <v>7</v>
      </c>
      <c r="J26" s="23" t="s">
        <v>23</v>
      </c>
      <c r="K26" s="24">
        <f>70*7+150+25</f>
        <v>665</v>
      </c>
    </row>
    <row r="27" spans="1:11" ht="17.25" thickTop="1" thickBot="1">
      <c r="B27" s="17">
        <v>191065110</v>
      </c>
      <c r="C27" s="18">
        <v>14782</v>
      </c>
      <c r="D27" s="19">
        <v>45521</v>
      </c>
      <c r="E27" s="19">
        <v>45647</v>
      </c>
      <c r="F27" s="20">
        <v>45661</v>
      </c>
      <c r="G27" s="21" t="s">
        <v>10</v>
      </c>
      <c r="H27" s="17">
        <f t="shared" si="0"/>
        <v>2</v>
      </c>
      <c r="I27" s="22">
        <f t="shared" si="1"/>
        <v>14</v>
      </c>
      <c r="J27" s="23" t="s">
        <v>18</v>
      </c>
      <c r="K27" s="24">
        <f>56*14+100</f>
        <v>884</v>
      </c>
    </row>
    <row r="28" spans="1:11" ht="17.25" thickTop="1" thickBot="1">
      <c r="B28" s="17">
        <v>191053615</v>
      </c>
      <c r="C28" s="18">
        <v>14783</v>
      </c>
      <c r="D28" s="19">
        <v>45521</v>
      </c>
      <c r="E28" s="19">
        <v>45654</v>
      </c>
      <c r="F28" s="20">
        <v>45661</v>
      </c>
      <c r="G28" s="21" t="s">
        <v>10</v>
      </c>
      <c r="H28" s="17">
        <f t="shared" si="0"/>
        <v>2</v>
      </c>
      <c r="I28" s="22">
        <f t="shared" si="1"/>
        <v>7</v>
      </c>
      <c r="J28" s="23" t="s">
        <v>18</v>
      </c>
      <c r="K28" s="24">
        <f>56*7+100</f>
        <v>492</v>
      </c>
    </row>
    <row r="29" spans="1:11" ht="17.25" thickTop="1" thickBot="1">
      <c r="B29" s="17">
        <v>191053615</v>
      </c>
      <c r="C29" s="18">
        <v>14784</v>
      </c>
      <c r="D29" s="19">
        <v>45521</v>
      </c>
      <c r="E29" s="19">
        <v>45654</v>
      </c>
      <c r="F29" s="20">
        <v>45661</v>
      </c>
      <c r="G29" s="21" t="s">
        <v>10</v>
      </c>
      <c r="H29" s="17">
        <f t="shared" si="0"/>
        <v>2</v>
      </c>
      <c r="I29" s="22">
        <f t="shared" si="1"/>
        <v>7</v>
      </c>
      <c r="J29" s="23" t="s">
        <v>24</v>
      </c>
      <c r="K29" s="24">
        <f>56*7+50+25</f>
        <v>467</v>
      </c>
    </row>
    <row r="30" spans="1:11" ht="17.25" thickTop="1" thickBot="1">
      <c r="B30" s="17">
        <v>191053615</v>
      </c>
      <c r="C30" s="18">
        <v>14785</v>
      </c>
      <c r="D30" s="19">
        <v>45521</v>
      </c>
      <c r="E30" s="19">
        <v>45654</v>
      </c>
      <c r="F30" s="20">
        <v>45661</v>
      </c>
      <c r="G30" s="21" t="s">
        <v>11</v>
      </c>
      <c r="H30" s="17">
        <f t="shared" si="0"/>
        <v>1</v>
      </c>
      <c r="I30" s="22">
        <f t="shared" si="1"/>
        <v>7</v>
      </c>
      <c r="J30" s="23" t="s">
        <v>25</v>
      </c>
      <c r="K30" s="24">
        <f>38*7+50</f>
        <v>316</v>
      </c>
    </row>
    <row r="31" spans="1:11" ht="17.25" thickTop="1" thickBot="1">
      <c r="B31" s="17">
        <v>191082654</v>
      </c>
      <c r="C31" s="18">
        <v>14786</v>
      </c>
      <c r="D31" s="19">
        <v>45521</v>
      </c>
      <c r="E31" s="19">
        <v>45654</v>
      </c>
      <c r="F31" s="20">
        <v>45661</v>
      </c>
      <c r="G31" s="21" t="s">
        <v>10</v>
      </c>
      <c r="H31" s="17">
        <f t="shared" si="0"/>
        <v>2</v>
      </c>
      <c r="I31" s="22">
        <f t="shared" si="1"/>
        <v>7</v>
      </c>
      <c r="J31" s="23" t="s">
        <v>18</v>
      </c>
      <c r="K31" s="24">
        <f>56*7+100</f>
        <v>492</v>
      </c>
    </row>
    <row r="32" spans="1:11" ht="17.25" thickTop="1" thickBot="1">
      <c r="B32" s="17">
        <v>191082728</v>
      </c>
      <c r="C32" s="18">
        <v>14787</v>
      </c>
      <c r="D32" s="19">
        <v>45521</v>
      </c>
      <c r="E32" s="19">
        <v>45654</v>
      </c>
      <c r="F32" s="20">
        <v>45661</v>
      </c>
      <c r="G32" s="21" t="s">
        <v>14</v>
      </c>
      <c r="H32" s="17">
        <f t="shared" si="0"/>
        <v>3</v>
      </c>
      <c r="I32" s="22">
        <f t="shared" si="1"/>
        <v>7</v>
      </c>
      <c r="J32" s="23" t="s">
        <v>21</v>
      </c>
      <c r="K32" s="24">
        <f>78*7+150</f>
        <v>696</v>
      </c>
    </row>
    <row r="33" spans="1:11" ht="17.25" thickTop="1" thickBot="1">
      <c r="B33" s="17">
        <v>191082767</v>
      </c>
      <c r="C33" s="18">
        <v>14788</v>
      </c>
      <c r="D33" s="19">
        <v>45521</v>
      </c>
      <c r="E33" s="19">
        <v>45654</v>
      </c>
      <c r="F33" s="20">
        <v>45661</v>
      </c>
      <c r="G33" s="21" t="s">
        <v>10</v>
      </c>
      <c r="H33" s="17">
        <f t="shared" si="0"/>
        <v>2</v>
      </c>
      <c r="I33" s="22">
        <f t="shared" si="1"/>
        <v>7</v>
      </c>
      <c r="J33" s="23" t="s">
        <v>19</v>
      </c>
      <c r="K33" s="24">
        <f>56*7+100+25</f>
        <v>517</v>
      </c>
    </row>
    <row r="34" spans="1:11" ht="17.25" thickTop="1" thickBot="1">
      <c r="B34" s="17">
        <v>191092154</v>
      </c>
      <c r="C34" s="18">
        <v>14789</v>
      </c>
      <c r="D34" s="19">
        <v>45521</v>
      </c>
      <c r="E34" s="19">
        <v>45654</v>
      </c>
      <c r="F34" s="20">
        <v>45661</v>
      </c>
      <c r="G34" s="21" t="s">
        <v>10</v>
      </c>
      <c r="H34" s="17">
        <f t="shared" si="0"/>
        <v>2</v>
      </c>
      <c r="I34" s="22">
        <f t="shared" si="1"/>
        <v>7</v>
      </c>
      <c r="J34" s="23" t="s">
        <v>18</v>
      </c>
      <c r="K34" s="24">
        <f>56*7+100</f>
        <v>492</v>
      </c>
    </row>
    <row r="35" spans="1:11" ht="17.25" thickTop="1" thickBot="1">
      <c r="B35" s="17">
        <v>191096195</v>
      </c>
      <c r="C35" s="18">
        <v>14790</v>
      </c>
      <c r="D35" s="19">
        <v>45521</v>
      </c>
      <c r="E35" s="19">
        <v>45654</v>
      </c>
      <c r="F35" s="20">
        <v>45661</v>
      </c>
      <c r="G35" s="21" t="s">
        <v>10</v>
      </c>
      <c r="H35" s="17">
        <f t="shared" si="0"/>
        <v>2</v>
      </c>
      <c r="I35" s="22">
        <f t="shared" si="1"/>
        <v>7</v>
      </c>
      <c r="J35" s="23" t="s">
        <v>18</v>
      </c>
      <c r="K35" s="24">
        <f>56*7+100</f>
        <v>492</v>
      </c>
    </row>
    <row r="36" spans="1:11" ht="17.25" thickTop="1" thickBot="1">
      <c r="B36" s="17">
        <v>191333523</v>
      </c>
      <c r="C36" s="18">
        <v>14791</v>
      </c>
      <c r="D36" s="19">
        <v>45521</v>
      </c>
      <c r="E36" s="19">
        <v>45654</v>
      </c>
      <c r="F36" s="20">
        <v>45661</v>
      </c>
      <c r="G36" s="21" t="s">
        <v>10</v>
      </c>
      <c r="H36" s="17">
        <f t="shared" si="0"/>
        <v>2</v>
      </c>
      <c r="I36" s="22">
        <f t="shared" si="1"/>
        <v>7</v>
      </c>
      <c r="J36" s="23" t="s">
        <v>18</v>
      </c>
      <c r="K36" s="24">
        <f>56*7+100</f>
        <v>492</v>
      </c>
    </row>
    <row r="37" spans="1:11" s="1" customFormat="1" ht="17.25" thickTop="1" thickBot="1">
      <c r="A37" s="16"/>
      <c r="B37" s="17">
        <v>191333525</v>
      </c>
      <c r="C37" s="18">
        <v>14792</v>
      </c>
      <c r="D37" s="19">
        <v>45521</v>
      </c>
      <c r="E37" s="19">
        <v>45654</v>
      </c>
      <c r="F37" s="20">
        <v>45661</v>
      </c>
      <c r="G37" s="21" t="s">
        <v>10</v>
      </c>
      <c r="H37" s="17">
        <f t="shared" si="0"/>
        <v>2</v>
      </c>
      <c r="I37" s="22">
        <f t="shared" si="1"/>
        <v>7</v>
      </c>
      <c r="J37" s="23" t="s">
        <v>18</v>
      </c>
      <c r="K37" s="24">
        <f>56*7+100</f>
        <v>492</v>
      </c>
    </row>
    <row r="38" spans="1:11" ht="17.25" thickTop="1" thickBot="1">
      <c r="B38" s="17">
        <v>191339787</v>
      </c>
      <c r="C38" s="18">
        <v>14793</v>
      </c>
      <c r="D38" s="19">
        <v>45525</v>
      </c>
      <c r="E38" s="19">
        <v>45654</v>
      </c>
      <c r="F38" s="20">
        <v>45661</v>
      </c>
      <c r="G38" s="21" t="s">
        <v>10</v>
      </c>
      <c r="H38" s="17">
        <f t="shared" si="0"/>
        <v>2</v>
      </c>
      <c r="I38" s="22">
        <f t="shared" si="1"/>
        <v>7</v>
      </c>
      <c r="J38" s="23" t="s">
        <v>19</v>
      </c>
      <c r="K38" s="24">
        <f>56*7+100+25</f>
        <v>517</v>
      </c>
    </row>
    <row r="39" spans="1:11" ht="17.25" thickTop="1" thickBot="1">
      <c r="B39" s="17">
        <v>191342075</v>
      </c>
      <c r="C39" s="18">
        <v>14794</v>
      </c>
      <c r="D39" s="19">
        <v>45526</v>
      </c>
      <c r="E39" s="19">
        <v>45654</v>
      </c>
      <c r="F39" s="20">
        <v>45661</v>
      </c>
      <c r="G39" s="21" t="s">
        <v>10</v>
      </c>
      <c r="H39" s="17">
        <f t="shared" si="0"/>
        <v>2</v>
      </c>
      <c r="I39" s="25">
        <f t="shared" si="1"/>
        <v>7</v>
      </c>
      <c r="J39" s="26" t="s">
        <v>18</v>
      </c>
      <c r="K39" s="27">
        <f>56*7+100</f>
        <v>492</v>
      </c>
    </row>
    <row r="40" spans="1:11" ht="17.25" thickTop="1" thickBot="1">
      <c r="B40" s="17">
        <v>191342827</v>
      </c>
      <c r="C40" s="18">
        <v>14795</v>
      </c>
      <c r="D40" s="19">
        <v>45526</v>
      </c>
      <c r="E40" s="19">
        <v>45654</v>
      </c>
      <c r="F40" s="20">
        <v>45661</v>
      </c>
      <c r="G40" s="21" t="s">
        <v>10</v>
      </c>
      <c r="H40" s="17">
        <f t="shared" si="0"/>
        <v>2</v>
      </c>
      <c r="I40" s="22">
        <f t="shared" si="1"/>
        <v>7</v>
      </c>
      <c r="J40" s="23" t="s">
        <v>19</v>
      </c>
      <c r="K40" s="24">
        <f>56*7+100+25</f>
        <v>517</v>
      </c>
    </row>
    <row r="41" spans="1:11" ht="17.25" thickTop="1" thickBot="1">
      <c r="B41" s="17">
        <v>191360267</v>
      </c>
      <c r="C41" s="18">
        <v>14796</v>
      </c>
      <c r="D41" s="19">
        <v>45534</v>
      </c>
      <c r="E41" s="19">
        <v>45654</v>
      </c>
      <c r="F41" s="20">
        <v>45661</v>
      </c>
      <c r="G41" s="21" t="s">
        <v>10</v>
      </c>
      <c r="H41" s="17">
        <f t="shared" si="0"/>
        <v>2</v>
      </c>
      <c r="I41" s="22">
        <f t="shared" si="1"/>
        <v>7</v>
      </c>
      <c r="J41" s="23" t="s">
        <v>18</v>
      </c>
      <c r="K41" s="24">
        <f>56*7+100</f>
        <v>492</v>
      </c>
    </row>
    <row r="42" spans="1:11" ht="17.25" thickTop="1" thickBot="1">
      <c r="B42" s="17">
        <v>191407671</v>
      </c>
      <c r="C42" s="18">
        <v>14797</v>
      </c>
      <c r="D42" s="19">
        <v>45561</v>
      </c>
      <c r="E42" s="19">
        <v>45654</v>
      </c>
      <c r="F42" s="20">
        <v>45661</v>
      </c>
      <c r="G42" s="21" t="s">
        <v>10</v>
      </c>
      <c r="H42" s="17">
        <f t="shared" si="0"/>
        <v>2</v>
      </c>
      <c r="I42" s="22">
        <f t="shared" si="1"/>
        <v>7</v>
      </c>
      <c r="J42" s="23" t="s">
        <v>18</v>
      </c>
      <c r="K42" s="24">
        <f>56*7+100</f>
        <v>492</v>
      </c>
    </row>
    <row r="43" spans="1:11" ht="17.25" thickTop="1" thickBot="1">
      <c r="B43" s="17">
        <v>191429362</v>
      </c>
      <c r="C43" s="18">
        <v>14798</v>
      </c>
      <c r="D43" s="19">
        <v>45575</v>
      </c>
      <c r="E43" s="19">
        <v>45654</v>
      </c>
      <c r="F43" s="20">
        <v>45661</v>
      </c>
      <c r="G43" s="21" t="s">
        <v>11</v>
      </c>
      <c r="H43" s="17">
        <f t="shared" si="0"/>
        <v>1</v>
      </c>
      <c r="I43" s="22">
        <f t="shared" si="1"/>
        <v>7</v>
      </c>
      <c r="J43" s="23" t="s">
        <v>17</v>
      </c>
      <c r="K43" s="24">
        <f>38*7+50+25</f>
        <v>341</v>
      </c>
    </row>
    <row r="44" spans="1:11" ht="17.25" thickTop="1" thickBot="1">
      <c r="B44" s="17">
        <v>191437593</v>
      </c>
      <c r="C44" s="18">
        <v>14799</v>
      </c>
      <c r="D44" s="19">
        <v>45580</v>
      </c>
      <c r="E44" s="19">
        <v>45654</v>
      </c>
      <c r="F44" s="20">
        <v>45661</v>
      </c>
      <c r="G44" s="21" t="s">
        <v>14</v>
      </c>
      <c r="H44" s="17">
        <f t="shared" si="0"/>
        <v>3</v>
      </c>
      <c r="I44" s="22">
        <f t="shared" si="1"/>
        <v>7</v>
      </c>
      <c r="J44" s="23" t="s">
        <v>21</v>
      </c>
      <c r="K44" s="24">
        <f>78*7+150</f>
        <v>696</v>
      </c>
    </row>
    <row r="45" spans="1:11" ht="17.25" thickTop="1" thickBot="1">
      <c r="B45" s="17">
        <v>191450399</v>
      </c>
      <c r="C45" s="18">
        <v>14800</v>
      </c>
      <c r="D45" s="19">
        <v>45591</v>
      </c>
      <c r="E45" s="19">
        <v>45653</v>
      </c>
      <c r="F45" s="20">
        <v>45661</v>
      </c>
      <c r="G45" s="21" t="s">
        <v>10</v>
      </c>
      <c r="H45" s="17">
        <f t="shared" si="0"/>
        <v>2</v>
      </c>
      <c r="I45" s="22">
        <f t="shared" si="1"/>
        <v>8</v>
      </c>
      <c r="J45" s="23" t="s">
        <v>18</v>
      </c>
      <c r="K45" s="24">
        <f>56*8+100</f>
        <v>548</v>
      </c>
    </row>
    <row r="46" spans="1:11" ht="17.25" thickTop="1" thickBot="1">
      <c r="B46" s="17">
        <v>191452956</v>
      </c>
      <c r="C46" s="18">
        <v>14801</v>
      </c>
      <c r="D46" s="19">
        <v>45593</v>
      </c>
      <c r="E46" s="19">
        <v>45654</v>
      </c>
      <c r="F46" s="20">
        <v>45661</v>
      </c>
      <c r="G46" s="21" t="s">
        <v>10</v>
      </c>
      <c r="H46" s="17">
        <f t="shared" si="0"/>
        <v>2</v>
      </c>
      <c r="I46" s="22">
        <f t="shared" si="1"/>
        <v>7</v>
      </c>
      <c r="J46" s="23" t="s">
        <v>18</v>
      </c>
      <c r="K46" s="24">
        <f>56*7+100</f>
        <v>492</v>
      </c>
    </row>
    <row r="47" spans="1:11" ht="17.25" thickTop="1" thickBot="1">
      <c r="B47" s="17">
        <v>191457613</v>
      </c>
      <c r="C47" s="18">
        <v>14802</v>
      </c>
      <c r="D47" s="19">
        <v>45595</v>
      </c>
      <c r="E47" s="19">
        <v>45654</v>
      </c>
      <c r="F47" s="20">
        <v>45661</v>
      </c>
      <c r="G47" s="21" t="s">
        <v>14</v>
      </c>
      <c r="H47" s="17">
        <f t="shared" si="0"/>
        <v>3</v>
      </c>
      <c r="I47" s="22">
        <f t="shared" si="1"/>
        <v>7</v>
      </c>
      <c r="J47" s="23" t="s">
        <v>26</v>
      </c>
      <c r="K47" s="24">
        <f>78*7+150+25</f>
        <v>721</v>
      </c>
    </row>
    <row r="48" spans="1:11" ht="17.25" thickTop="1" thickBot="1">
      <c r="B48" s="17">
        <v>191459039</v>
      </c>
      <c r="C48" s="18">
        <v>14803</v>
      </c>
      <c r="D48" s="19">
        <v>45596</v>
      </c>
      <c r="E48" s="19">
        <v>45654</v>
      </c>
      <c r="F48" s="20">
        <v>45661</v>
      </c>
      <c r="G48" s="21" t="s">
        <v>10</v>
      </c>
      <c r="H48" s="17">
        <f t="shared" si="0"/>
        <v>2</v>
      </c>
      <c r="I48" s="22">
        <f t="shared" si="1"/>
        <v>7</v>
      </c>
      <c r="J48" s="23" t="s">
        <v>18</v>
      </c>
      <c r="K48" s="24">
        <f t="shared" ref="K48:K56" si="2">56*7+100</f>
        <v>492</v>
      </c>
    </row>
    <row r="49" spans="1:11" ht="17.25" thickTop="1" thickBot="1">
      <c r="B49" s="17">
        <v>191459604</v>
      </c>
      <c r="C49" s="18">
        <v>14804</v>
      </c>
      <c r="D49" s="19">
        <v>45596</v>
      </c>
      <c r="E49" s="19">
        <v>45654</v>
      </c>
      <c r="F49" s="20">
        <v>45661</v>
      </c>
      <c r="G49" s="21" t="s">
        <v>10</v>
      </c>
      <c r="H49" s="17">
        <f t="shared" si="0"/>
        <v>2</v>
      </c>
      <c r="I49" s="22">
        <f t="shared" si="1"/>
        <v>7</v>
      </c>
      <c r="J49" s="23" t="s">
        <v>18</v>
      </c>
      <c r="K49" s="24">
        <f t="shared" si="2"/>
        <v>492</v>
      </c>
    </row>
    <row r="50" spans="1:11" ht="17.25" thickTop="1" thickBot="1">
      <c r="B50" s="17">
        <v>191462135</v>
      </c>
      <c r="C50" s="18">
        <v>14805</v>
      </c>
      <c r="D50" s="19">
        <v>45598</v>
      </c>
      <c r="E50" s="19">
        <v>45654</v>
      </c>
      <c r="F50" s="20">
        <v>45661</v>
      </c>
      <c r="G50" s="21" t="s">
        <v>10</v>
      </c>
      <c r="H50" s="17">
        <f t="shared" si="0"/>
        <v>2</v>
      </c>
      <c r="I50" s="22">
        <f t="shared" si="1"/>
        <v>7</v>
      </c>
      <c r="J50" s="23" t="s">
        <v>18</v>
      </c>
      <c r="K50" s="24">
        <f t="shared" si="2"/>
        <v>492</v>
      </c>
    </row>
    <row r="51" spans="1:11" ht="17.25" thickTop="1" thickBot="1">
      <c r="B51" s="17">
        <v>191462135</v>
      </c>
      <c r="C51" s="18">
        <v>14806</v>
      </c>
      <c r="D51" s="19">
        <v>45598</v>
      </c>
      <c r="E51" s="19">
        <v>45654</v>
      </c>
      <c r="F51" s="20">
        <v>45661</v>
      </c>
      <c r="G51" s="21" t="s">
        <v>10</v>
      </c>
      <c r="H51" s="17">
        <f t="shared" si="0"/>
        <v>2</v>
      </c>
      <c r="I51" s="22">
        <f t="shared" si="1"/>
        <v>7</v>
      </c>
      <c r="J51" s="23" t="s">
        <v>18</v>
      </c>
      <c r="K51" s="24">
        <f t="shared" si="2"/>
        <v>492</v>
      </c>
    </row>
    <row r="52" spans="1:11" ht="17.25" thickTop="1" thickBot="1">
      <c r="B52" s="17">
        <v>191464891</v>
      </c>
      <c r="C52" s="18">
        <v>14807</v>
      </c>
      <c r="D52" s="19">
        <v>45601</v>
      </c>
      <c r="E52" s="19">
        <v>45654</v>
      </c>
      <c r="F52" s="20">
        <v>45661</v>
      </c>
      <c r="G52" s="21" t="s">
        <v>10</v>
      </c>
      <c r="H52" s="17">
        <f t="shared" si="0"/>
        <v>2</v>
      </c>
      <c r="I52" s="22">
        <f t="shared" si="1"/>
        <v>7</v>
      </c>
      <c r="J52" s="23" t="s">
        <v>18</v>
      </c>
      <c r="K52" s="24">
        <f t="shared" si="2"/>
        <v>492</v>
      </c>
    </row>
    <row r="53" spans="1:11" ht="17.25" thickTop="1" thickBot="1">
      <c r="B53" s="17">
        <v>191466581</v>
      </c>
      <c r="C53" s="18">
        <v>14808</v>
      </c>
      <c r="D53" s="19">
        <v>45602</v>
      </c>
      <c r="E53" s="19">
        <v>45654</v>
      </c>
      <c r="F53" s="20">
        <v>45661</v>
      </c>
      <c r="G53" s="21" t="s">
        <v>10</v>
      </c>
      <c r="H53" s="17">
        <f t="shared" si="0"/>
        <v>2</v>
      </c>
      <c r="I53" s="22">
        <f t="shared" si="1"/>
        <v>7</v>
      </c>
      <c r="J53" s="23" t="s">
        <v>18</v>
      </c>
      <c r="K53" s="24">
        <f t="shared" si="2"/>
        <v>492</v>
      </c>
    </row>
    <row r="54" spans="1:11" s="1" customFormat="1" ht="17.25" thickTop="1" thickBot="1">
      <c r="A54" s="16"/>
      <c r="B54" s="17">
        <v>191465247</v>
      </c>
      <c r="C54" s="18">
        <v>14809</v>
      </c>
      <c r="D54" s="19">
        <v>45603</v>
      </c>
      <c r="E54" s="19">
        <v>45654</v>
      </c>
      <c r="F54" s="20">
        <v>45661</v>
      </c>
      <c r="G54" s="21" t="s">
        <v>10</v>
      </c>
      <c r="H54" s="17">
        <f t="shared" si="0"/>
        <v>2</v>
      </c>
      <c r="I54" s="22">
        <f t="shared" si="1"/>
        <v>7</v>
      </c>
      <c r="J54" s="23" t="s">
        <v>18</v>
      </c>
      <c r="K54" s="24">
        <f t="shared" si="2"/>
        <v>492</v>
      </c>
    </row>
    <row r="55" spans="1:11" ht="17.25" thickTop="1" thickBot="1">
      <c r="B55" s="17">
        <v>191468496</v>
      </c>
      <c r="C55" s="18">
        <v>14810</v>
      </c>
      <c r="D55" s="19">
        <v>45603</v>
      </c>
      <c r="E55" s="19">
        <v>45654</v>
      </c>
      <c r="F55" s="20">
        <v>45661</v>
      </c>
      <c r="G55" s="21" t="s">
        <v>10</v>
      </c>
      <c r="H55" s="17">
        <f t="shared" si="0"/>
        <v>2</v>
      </c>
      <c r="I55" s="22">
        <f t="shared" si="1"/>
        <v>7</v>
      </c>
      <c r="J55" s="23" t="s">
        <v>18</v>
      </c>
      <c r="K55" s="24">
        <f t="shared" si="2"/>
        <v>492</v>
      </c>
    </row>
    <row r="56" spans="1:11" ht="17.25" thickTop="1" thickBot="1">
      <c r="B56" s="17">
        <v>191465417</v>
      </c>
      <c r="C56" s="18">
        <v>14811</v>
      </c>
      <c r="D56" s="19">
        <v>45604</v>
      </c>
      <c r="E56" s="19">
        <v>45654</v>
      </c>
      <c r="F56" s="20">
        <v>45661</v>
      </c>
      <c r="G56" s="21" t="s">
        <v>10</v>
      </c>
      <c r="H56" s="17">
        <f t="shared" si="0"/>
        <v>2</v>
      </c>
      <c r="I56" s="22">
        <f t="shared" si="1"/>
        <v>7</v>
      </c>
      <c r="J56" s="23" t="s">
        <v>18</v>
      </c>
      <c r="K56" s="24">
        <f t="shared" si="2"/>
        <v>492</v>
      </c>
    </row>
    <row r="57" spans="1:11" ht="17.25" thickTop="1" thickBot="1">
      <c r="B57" s="17">
        <v>191469431</v>
      </c>
      <c r="C57" s="18">
        <v>14812</v>
      </c>
      <c r="D57" s="19">
        <v>45605</v>
      </c>
      <c r="E57" s="19">
        <v>45654</v>
      </c>
      <c r="F57" s="20">
        <v>45661</v>
      </c>
      <c r="G57" s="21" t="s">
        <v>10</v>
      </c>
      <c r="H57" s="17">
        <f t="shared" si="0"/>
        <v>2</v>
      </c>
      <c r="I57" s="22">
        <f t="shared" si="1"/>
        <v>7</v>
      </c>
      <c r="J57" s="23" t="s">
        <v>24</v>
      </c>
      <c r="K57" s="24">
        <f>56*7+50+25</f>
        <v>467</v>
      </c>
    </row>
    <row r="58" spans="1:11" ht="17.25" thickTop="1" thickBot="1">
      <c r="B58" s="17">
        <v>191475686</v>
      </c>
      <c r="C58" s="18">
        <v>14813</v>
      </c>
      <c r="D58" s="19">
        <v>45608</v>
      </c>
      <c r="E58" s="19">
        <v>45654</v>
      </c>
      <c r="F58" s="20">
        <v>45661</v>
      </c>
      <c r="G58" s="21" t="s">
        <v>11</v>
      </c>
      <c r="H58" s="17">
        <f t="shared" si="0"/>
        <v>1</v>
      </c>
      <c r="I58" s="22">
        <f t="shared" si="1"/>
        <v>7</v>
      </c>
      <c r="J58" s="23" t="s">
        <v>25</v>
      </c>
      <c r="K58" s="24">
        <f>38*7+50</f>
        <v>316</v>
      </c>
    </row>
    <row r="59" spans="1:11" ht="17.25" thickTop="1" thickBot="1">
      <c r="B59" s="17">
        <v>191477540</v>
      </c>
      <c r="C59" s="18">
        <v>14814</v>
      </c>
      <c r="D59" s="19">
        <v>45609</v>
      </c>
      <c r="E59" s="19">
        <v>45654</v>
      </c>
      <c r="F59" s="20">
        <v>45661</v>
      </c>
      <c r="G59" s="21" t="s">
        <v>10</v>
      </c>
      <c r="H59" s="17">
        <f t="shared" si="0"/>
        <v>2</v>
      </c>
      <c r="I59" s="22">
        <f t="shared" si="1"/>
        <v>7</v>
      </c>
      <c r="J59" s="23" t="s">
        <v>18</v>
      </c>
      <c r="K59" s="24">
        <f>56*7+100</f>
        <v>492</v>
      </c>
    </row>
    <row r="60" spans="1:11" ht="17.25" thickTop="1" thickBot="1">
      <c r="B60" s="17">
        <v>723241042</v>
      </c>
      <c r="C60" s="18">
        <v>14860</v>
      </c>
      <c r="D60" s="19">
        <v>45450</v>
      </c>
      <c r="E60" s="19">
        <v>45655</v>
      </c>
      <c r="F60" s="20">
        <v>45662</v>
      </c>
      <c r="G60" s="21" t="s">
        <v>11</v>
      </c>
      <c r="H60" s="17">
        <f t="shared" si="0"/>
        <v>1</v>
      </c>
      <c r="I60" s="22">
        <f t="shared" si="1"/>
        <v>7</v>
      </c>
      <c r="J60" s="23" t="s">
        <v>25</v>
      </c>
      <c r="K60" s="24">
        <f>38*7+50</f>
        <v>316</v>
      </c>
    </row>
    <row r="61" spans="1:11" ht="17.25" thickTop="1" thickBot="1">
      <c r="B61" s="17">
        <v>723241039</v>
      </c>
      <c r="C61" s="18">
        <v>14861</v>
      </c>
      <c r="D61" s="19">
        <v>45450</v>
      </c>
      <c r="E61" s="19">
        <v>45655</v>
      </c>
      <c r="F61" s="20">
        <v>45662</v>
      </c>
      <c r="G61" s="21" t="s">
        <v>10</v>
      </c>
      <c r="H61" s="17">
        <f t="shared" si="0"/>
        <v>2</v>
      </c>
      <c r="I61" s="22">
        <f t="shared" si="1"/>
        <v>7</v>
      </c>
      <c r="J61" s="23" t="s">
        <v>19</v>
      </c>
      <c r="K61" s="24">
        <f>56*7+100+25</f>
        <v>517</v>
      </c>
    </row>
    <row r="62" spans="1:11" ht="17.25" thickTop="1" thickBot="1">
      <c r="B62" s="17">
        <v>723241044</v>
      </c>
      <c r="C62" s="18">
        <v>14862</v>
      </c>
      <c r="D62" s="19">
        <v>45450</v>
      </c>
      <c r="E62" s="19">
        <v>45652</v>
      </c>
      <c r="F62" s="20">
        <v>45662</v>
      </c>
      <c r="G62" s="21" t="s">
        <v>10</v>
      </c>
      <c r="H62" s="17">
        <f t="shared" si="0"/>
        <v>2</v>
      </c>
      <c r="I62" s="22">
        <f t="shared" si="1"/>
        <v>10</v>
      </c>
      <c r="J62" s="23" t="s">
        <v>18</v>
      </c>
      <c r="K62" s="24">
        <f>56*10+100</f>
        <v>660</v>
      </c>
    </row>
    <row r="63" spans="1:11" ht="17.25" thickTop="1" thickBot="1">
      <c r="B63" s="17">
        <v>723233054</v>
      </c>
      <c r="C63" s="18">
        <v>14863</v>
      </c>
      <c r="D63" s="19">
        <v>45433</v>
      </c>
      <c r="E63" s="19">
        <v>45652</v>
      </c>
      <c r="F63" s="20">
        <v>45662</v>
      </c>
      <c r="G63" s="21" t="s">
        <v>14</v>
      </c>
      <c r="H63" s="17">
        <f t="shared" si="0"/>
        <v>3</v>
      </c>
      <c r="I63" s="22">
        <f t="shared" si="1"/>
        <v>10</v>
      </c>
      <c r="J63" s="23" t="s">
        <v>21</v>
      </c>
      <c r="K63" s="24">
        <f>78*10+150</f>
        <v>930</v>
      </c>
    </row>
    <row r="64" spans="1:11" ht="17.25" thickTop="1" thickBot="1">
      <c r="B64" s="17">
        <v>191471329</v>
      </c>
      <c r="C64" s="18">
        <v>14928</v>
      </c>
      <c r="D64" s="19">
        <v>45611</v>
      </c>
      <c r="E64" s="19">
        <v>45656</v>
      </c>
      <c r="F64" s="20">
        <v>45663</v>
      </c>
      <c r="G64" s="21" t="s">
        <v>10</v>
      </c>
      <c r="H64" s="17">
        <f t="shared" si="0"/>
        <v>2</v>
      </c>
      <c r="I64" s="22">
        <f t="shared" si="1"/>
        <v>7</v>
      </c>
      <c r="J64" s="23" t="s">
        <v>19</v>
      </c>
      <c r="K64" s="24">
        <f>56*7+100+25</f>
        <v>517</v>
      </c>
    </row>
    <row r="65" spans="1:11" ht="17.25" thickTop="1" thickBot="1">
      <c r="B65" s="17">
        <v>191471329</v>
      </c>
      <c r="C65" s="18">
        <v>14929</v>
      </c>
      <c r="D65" s="19">
        <v>45611</v>
      </c>
      <c r="E65" s="19">
        <v>45656</v>
      </c>
      <c r="F65" s="20">
        <v>45663</v>
      </c>
      <c r="G65" s="21" t="s">
        <v>10</v>
      </c>
      <c r="H65" s="17">
        <f t="shared" si="0"/>
        <v>2</v>
      </c>
      <c r="I65" s="22">
        <f t="shared" si="1"/>
        <v>7</v>
      </c>
      <c r="J65" s="23" t="s">
        <v>19</v>
      </c>
      <c r="K65" s="24">
        <f>56*7+100+25</f>
        <v>517</v>
      </c>
    </row>
    <row r="66" spans="1:11" ht="17.25" thickTop="1" thickBot="1">
      <c r="B66" s="17">
        <v>191553513</v>
      </c>
      <c r="C66" s="18">
        <v>14984</v>
      </c>
      <c r="D66" s="19">
        <v>45658</v>
      </c>
      <c r="E66" s="19">
        <v>45660</v>
      </c>
      <c r="F66" s="20">
        <v>45665</v>
      </c>
      <c r="G66" s="21" t="s">
        <v>11</v>
      </c>
      <c r="H66" s="17">
        <f t="shared" si="0"/>
        <v>1</v>
      </c>
      <c r="I66" s="22">
        <f t="shared" si="1"/>
        <v>5</v>
      </c>
      <c r="J66" s="23" t="s">
        <v>27</v>
      </c>
      <c r="K66" s="24">
        <f>38+30.4*4</f>
        <v>159.6</v>
      </c>
    </row>
    <row r="67" spans="1:11" ht="17.25" thickTop="1" thickBot="1">
      <c r="B67" s="17">
        <v>723387225</v>
      </c>
      <c r="C67" s="18">
        <v>15008</v>
      </c>
      <c r="D67" s="19">
        <v>45647</v>
      </c>
      <c r="E67" s="19">
        <v>45659</v>
      </c>
      <c r="F67" s="20">
        <v>45666</v>
      </c>
      <c r="G67" s="21" t="s">
        <v>10</v>
      </c>
      <c r="H67" s="17">
        <f t="shared" ref="H67:H124" si="3">IF(LEFT(G67,3)="SGL",1,IF(LEFT(G67,3)="DBL",2,IF(LEFT(G67,3)="TPL",3,IF(LEFT(G67,7)="DBL(CH)",3))))</f>
        <v>2</v>
      </c>
      <c r="I67" s="22">
        <f t="shared" ref="I67:I124" si="4">+F67-E67</f>
        <v>7</v>
      </c>
      <c r="J67" s="23" t="s">
        <v>28</v>
      </c>
      <c r="K67" s="24">
        <f>56*2+44.8*5</f>
        <v>336</v>
      </c>
    </row>
    <row r="68" spans="1:11" ht="17.25" thickTop="1" thickBot="1">
      <c r="B68" s="17">
        <v>723268621</v>
      </c>
      <c r="C68" s="18">
        <v>15011</v>
      </c>
      <c r="D68" s="19">
        <v>45489</v>
      </c>
      <c r="E68" s="19">
        <v>45655</v>
      </c>
      <c r="F68" s="20">
        <v>45666</v>
      </c>
      <c r="G68" s="21" t="s">
        <v>10</v>
      </c>
      <c r="H68" s="17">
        <f t="shared" si="3"/>
        <v>2</v>
      </c>
      <c r="I68" s="22">
        <f t="shared" si="4"/>
        <v>11</v>
      </c>
      <c r="J68" s="23" t="s">
        <v>18</v>
      </c>
      <c r="K68" s="24">
        <f>56*11+100</f>
        <v>716</v>
      </c>
    </row>
    <row r="69" spans="1:11" ht="17.25" thickTop="1" thickBot="1">
      <c r="B69" s="17">
        <v>723261868</v>
      </c>
      <c r="C69" s="18">
        <v>15012</v>
      </c>
      <c r="D69" s="19">
        <v>45844</v>
      </c>
      <c r="E69" s="19">
        <v>45652</v>
      </c>
      <c r="F69" s="20">
        <v>45666</v>
      </c>
      <c r="G69" s="21" t="s">
        <v>13</v>
      </c>
      <c r="H69" s="17">
        <f t="shared" si="3"/>
        <v>2</v>
      </c>
      <c r="I69" s="22">
        <f t="shared" si="4"/>
        <v>14</v>
      </c>
      <c r="J69" s="23" t="s">
        <v>29</v>
      </c>
      <c r="K69" s="24">
        <f>70*14+100+50</f>
        <v>1130</v>
      </c>
    </row>
    <row r="70" spans="1:11" ht="17.25" thickTop="1" thickBot="1">
      <c r="B70" s="17">
        <v>723390778</v>
      </c>
      <c r="C70" s="18">
        <v>15015</v>
      </c>
      <c r="D70" s="19">
        <v>45654</v>
      </c>
      <c r="E70" s="19">
        <v>45659</v>
      </c>
      <c r="F70" s="20">
        <v>45666</v>
      </c>
      <c r="G70" s="21" t="s">
        <v>10</v>
      </c>
      <c r="H70" s="17">
        <f t="shared" si="3"/>
        <v>2</v>
      </c>
      <c r="I70" s="22">
        <f t="shared" si="4"/>
        <v>7</v>
      </c>
      <c r="J70" s="23" t="s">
        <v>28</v>
      </c>
      <c r="K70" s="24">
        <f>56*2+44.8*5</f>
        <v>336</v>
      </c>
    </row>
    <row r="71" spans="1:11" s="1" customFormat="1" ht="17.25" thickTop="1" thickBot="1">
      <c r="A71" s="16"/>
      <c r="B71" s="17">
        <v>723391949</v>
      </c>
      <c r="C71" s="18">
        <v>15016</v>
      </c>
      <c r="D71" s="19">
        <v>45655</v>
      </c>
      <c r="E71" s="19">
        <v>45659</v>
      </c>
      <c r="F71" s="20">
        <v>45666</v>
      </c>
      <c r="G71" s="21" t="s">
        <v>11</v>
      </c>
      <c r="H71" s="17">
        <f t="shared" si="3"/>
        <v>1</v>
      </c>
      <c r="I71" s="22">
        <f t="shared" si="4"/>
        <v>7</v>
      </c>
      <c r="J71" s="23" t="s">
        <v>27</v>
      </c>
      <c r="K71" s="24">
        <f>38*2+30.4*5</f>
        <v>228</v>
      </c>
    </row>
    <row r="72" spans="1:11" ht="17.25" thickTop="1" thickBot="1">
      <c r="B72" s="17">
        <v>723263195</v>
      </c>
      <c r="C72" s="18">
        <v>15017</v>
      </c>
      <c r="D72" s="19">
        <v>45481</v>
      </c>
      <c r="E72" s="19">
        <v>45659</v>
      </c>
      <c r="F72" s="20">
        <v>45666</v>
      </c>
      <c r="G72" s="21" t="s">
        <v>10</v>
      </c>
      <c r="H72" s="17">
        <f t="shared" si="3"/>
        <v>2</v>
      </c>
      <c r="I72" s="22">
        <f t="shared" si="4"/>
        <v>7</v>
      </c>
      <c r="J72" s="23">
        <v>56</v>
      </c>
      <c r="K72" s="24">
        <f>+J72*I72</f>
        <v>392</v>
      </c>
    </row>
    <row r="73" spans="1:11" ht="17.25" thickTop="1" thickBot="1">
      <c r="B73" s="17">
        <v>723387219</v>
      </c>
      <c r="C73" s="18">
        <v>15018</v>
      </c>
      <c r="D73" s="19">
        <v>45647</v>
      </c>
      <c r="E73" s="19">
        <v>45659</v>
      </c>
      <c r="F73" s="20">
        <v>45666</v>
      </c>
      <c r="G73" s="21" t="s">
        <v>10</v>
      </c>
      <c r="H73" s="17">
        <f t="shared" si="3"/>
        <v>2</v>
      </c>
      <c r="I73" s="22">
        <f t="shared" si="4"/>
        <v>7</v>
      </c>
      <c r="J73" s="23" t="s">
        <v>28</v>
      </c>
      <c r="K73" s="24">
        <f>56*2+44.8*5</f>
        <v>336</v>
      </c>
    </row>
    <row r="74" spans="1:11" ht="17.25" thickTop="1" thickBot="1">
      <c r="B74" s="17">
        <v>723265373</v>
      </c>
      <c r="C74" s="18">
        <v>15019</v>
      </c>
      <c r="D74" s="19">
        <v>45484</v>
      </c>
      <c r="E74" s="19">
        <v>45655</v>
      </c>
      <c r="F74" s="20">
        <v>45666</v>
      </c>
      <c r="G74" s="21" t="s">
        <v>10</v>
      </c>
      <c r="H74" s="17">
        <f t="shared" si="3"/>
        <v>2</v>
      </c>
      <c r="I74" s="22">
        <f t="shared" si="4"/>
        <v>11</v>
      </c>
      <c r="J74" s="23" t="s">
        <v>18</v>
      </c>
      <c r="K74" s="24">
        <f>56*11+100</f>
        <v>716</v>
      </c>
    </row>
    <row r="75" spans="1:11" ht="17.25" thickTop="1" thickBot="1">
      <c r="B75" s="17">
        <v>723261035</v>
      </c>
      <c r="C75" s="18">
        <v>15020</v>
      </c>
      <c r="D75" s="19">
        <v>45479</v>
      </c>
      <c r="E75" s="19">
        <v>45652</v>
      </c>
      <c r="F75" s="20">
        <v>45666</v>
      </c>
      <c r="G75" s="21" t="s">
        <v>13</v>
      </c>
      <c r="H75" s="17">
        <f t="shared" si="3"/>
        <v>2</v>
      </c>
      <c r="I75" s="22">
        <f t="shared" si="4"/>
        <v>14</v>
      </c>
      <c r="J75" s="23" t="s">
        <v>30</v>
      </c>
      <c r="K75" s="24">
        <f>70*14+100+25+25</f>
        <v>1130</v>
      </c>
    </row>
    <row r="76" spans="1:11" ht="17.25" thickTop="1" thickBot="1">
      <c r="B76" s="17">
        <v>723262690</v>
      </c>
      <c r="C76" s="18">
        <v>15021</v>
      </c>
      <c r="D76" s="19">
        <v>45479</v>
      </c>
      <c r="E76" s="19">
        <v>45652</v>
      </c>
      <c r="F76" s="20">
        <v>45666</v>
      </c>
      <c r="G76" s="21" t="s">
        <v>13</v>
      </c>
      <c r="H76" s="17">
        <f t="shared" si="3"/>
        <v>2</v>
      </c>
      <c r="I76" s="22">
        <f t="shared" si="4"/>
        <v>14</v>
      </c>
      <c r="J76" s="23" t="s">
        <v>30</v>
      </c>
      <c r="K76" s="24">
        <f>70*14+100+25+25</f>
        <v>1130</v>
      </c>
    </row>
    <row r="77" spans="1:11" ht="17.25" thickTop="1" thickBot="1">
      <c r="B77" s="17">
        <v>191480670</v>
      </c>
      <c r="C77" s="18">
        <v>15071</v>
      </c>
      <c r="D77" s="19">
        <v>45611</v>
      </c>
      <c r="E77" s="19">
        <v>45661</v>
      </c>
      <c r="F77" s="20">
        <v>45668</v>
      </c>
      <c r="G77" s="21" t="s">
        <v>10</v>
      </c>
      <c r="H77" s="17">
        <f t="shared" si="3"/>
        <v>2</v>
      </c>
      <c r="I77" s="22">
        <f t="shared" si="4"/>
        <v>7</v>
      </c>
      <c r="J77" s="23">
        <v>44.8</v>
      </c>
      <c r="K77" s="24">
        <f t="shared" ref="K77:K124" si="5">+J77*I77</f>
        <v>313.59999999999997</v>
      </c>
    </row>
    <row r="78" spans="1:11" ht="17.25" thickTop="1" thickBot="1">
      <c r="B78" s="17">
        <v>191515123</v>
      </c>
      <c r="C78" s="18">
        <v>15072</v>
      </c>
      <c r="D78" s="19">
        <v>45629</v>
      </c>
      <c r="E78" s="19">
        <v>45661</v>
      </c>
      <c r="F78" s="20">
        <v>45668</v>
      </c>
      <c r="G78" s="21" t="s">
        <v>10</v>
      </c>
      <c r="H78" s="17">
        <f t="shared" si="3"/>
        <v>2</v>
      </c>
      <c r="I78" s="22">
        <f t="shared" si="4"/>
        <v>7</v>
      </c>
      <c r="J78" s="23">
        <v>44.8</v>
      </c>
      <c r="K78" s="24">
        <f t="shared" si="5"/>
        <v>313.59999999999997</v>
      </c>
    </row>
    <row r="79" spans="1:11" ht="17.25" thickTop="1" thickBot="1">
      <c r="B79" s="28">
        <v>191515123</v>
      </c>
      <c r="C79" s="29">
        <v>15073</v>
      </c>
      <c r="D79" s="19">
        <v>45629</v>
      </c>
      <c r="E79" s="19">
        <v>45661</v>
      </c>
      <c r="F79" s="20">
        <v>45668</v>
      </c>
      <c r="G79" s="21" t="s">
        <v>11</v>
      </c>
      <c r="H79" s="17">
        <f t="shared" si="3"/>
        <v>1</v>
      </c>
      <c r="I79" s="22">
        <f t="shared" si="4"/>
        <v>7</v>
      </c>
      <c r="J79" s="23">
        <v>30.4</v>
      </c>
      <c r="K79" s="24">
        <f t="shared" si="5"/>
        <v>212.79999999999998</v>
      </c>
    </row>
    <row r="80" spans="1:11" ht="17.25" thickTop="1" thickBot="1">
      <c r="B80" s="17">
        <v>191515328</v>
      </c>
      <c r="C80" s="18">
        <v>15074</v>
      </c>
      <c r="D80" s="19">
        <v>45629</v>
      </c>
      <c r="E80" s="19">
        <v>45661</v>
      </c>
      <c r="F80" s="20">
        <v>45668</v>
      </c>
      <c r="G80" s="21" t="s">
        <v>10</v>
      </c>
      <c r="H80" s="17">
        <f t="shared" si="3"/>
        <v>2</v>
      </c>
      <c r="I80" s="22">
        <f t="shared" si="4"/>
        <v>7</v>
      </c>
      <c r="J80" s="23">
        <v>44.8</v>
      </c>
      <c r="K80" s="24">
        <f t="shared" si="5"/>
        <v>313.59999999999997</v>
      </c>
    </row>
    <row r="81" spans="1:11" ht="17.25" thickTop="1" thickBot="1">
      <c r="B81" s="17">
        <v>191550130</v>
      </c>
      <c r="C81" s="18">
        <v>15075</v>
      </c>
      <c r="D81" s="19">
        <v>45656</v>
      </c>
      <c r="E81" s="19">
        <v>45661</v>
      </c>
      <c r="F81" s="20">
        <v>45668</v>
      </c>
      <c r="G81" s="21" t="s">
        <v>10</v>
      </c>
      <c r="H81" s="17">
        <f t="shared" si="3"/>
        <v>2</v>
      </c>
      <c r="I81" s="22">
        <f t="shared" si="4"/>
        <v>7</v>
      </c>
      <c r="J81" s="23">
        <v>44.8</v>
      </c>
      <c r="K81" s="24">
        <f t="shared" si="5"/>
        <v>313.59999999999997</v>
      </c>
    </row>
    <row r="82" spans="1:11" ht="17.25" thickTop="1" thickBot="1">
      <c r="B82" s="17">
        <v>191140434</v>
      </c>
      <c r="C82" s="18">
        <v>15076</v>
      </c>
      <c r="D82" s="19">
        <v>45521</v>
      </c>
      <c r="E82" s="19">
        <v>45661</v>
      </c>
      <c r="F82" s="20">
        <v>45668</v>
      </c>
      <c r="G82" s="21" t="s">
        <v>10</v>
      </c>
      <c r="H82" s="17">
        <f t="shared" si="3"/>
        <v>2</v>
      </c>
      <c r="I82" s="22">
        <f t="shared" si="4"/>
        <v>7</v>
      </c>
      <c r="J82" s="23">
        <v>44.8</v>
      </c>
      <c r="K82" s="24">
        <f t="shared" si="5"/>
        <v>313.59999999999997</v>
      </c>
    </row>
    <row r="83" spans="1:11" ht="17.25" thickTop="1" thickBot="1">
      <c r="B83" s="17">
        <v>191137232</v>
      </c>
      <c r="C83" s="18">
        <v>15077</v>
      </c>
      <c r="D83" s="19">
        <v>45521</v>
      </c>
      <c r="E83" s="19">
        <v>45661</v>
      </c>
      <c r="F83" s="20">
        <v>45668</v>
      </c>
      <c r="G83" s="21" t="s">
        <v>10</v>
      </c>
      <c r="H83" s="17">
        <f t="shared" si="3"/>
        <v>2</v>
      </c>
      <c r="I83" s="22">
        <f t="shared" si="4"/>
        <v>7</v>
      </c>
      <c r="J83" s="23">
        <v>44.8</v>
      </c>
      <c r="K83" s="24">
        <f t="shared" si="5"/>
        <v>313.59999999999997</v>
      </c>
    </row>
    <row r="84" spans="1:11" ht="17.25" thickTop="1" thickBot="1">
      <c r="B84" s="17">
        <v>191135645</v>
      </c>
      <c r="C84" s="18">
        <v>15078</v>
      </c>
      <c r="D84" s="19">
        <v>45521</v>
      </c>
      <c r="E84" s="19">
        <v>45661</v>
      </c>
      <c r="F84" s="20">
        <v>45668</v>
      </c>
      <c r="G84" s="21" t="s">
        <v>10</v>
      </c>
      <c r="H84" s="17">
        <f t="shared" si="3"/>
        <v>2</v>
      </c>
      <c r="I84" s="22">
        <f t="shared" si="4"/>
        <v>7</v>
      </c>
      <c r="J84" s="23">
        <v>44.8</v>
      </c>
      <c r="K84" s="24">
        <f t="shared" si="5"/>
        <v>313.59999999999997</v>
      </c>
    </row>
    <row r="85" spans="1:11" ht="17.25" thickTop="1" thickBot="1">
      <c r="B85" s="17">
        <v>191106894</v>
      </c>
      <c r="C85" s="18">
        <v>15079</v>
      </c>
      <c r="D85" s="19">
        <v>45521</v>
      </c>
      <c r="E85" s="19">
        <v>45661</v>
      </c>
      <c r="F85" s="20">
        <v>45668</v>
      </c>
      <c r="G85" s="21" t="s">
        <v>10</v>
      </c>
      <c r="H85" s="17">
        <f t="shared" si="3"/>
        <v>2</v>
      </c>
      <c r="I85" s="22">
        <f t="shared" si="4"/>
        <v>7</v>
      </c>
      <c r="J85" s="23">
        <v>44.8</v>
      </c>
      <c r="K85" s="24">
        <f t="shared" si="5"/>
        <v>313.59999999999997</v>
      </c>
    </row>
    <row r="86" spans="1:11" ht="17.25" thickTop="1" thickBot="1">
      <c r="B86" s="17">
        <v>191448728</v>
      </c>
      <c r="C86" s="18">
        <v>15080</v>
      </c>
      <c r="D86" s="19">
        <v>45589</v>
      </c>
      <c r="E86" s="19">
        <v>45661</v>
      </c>
      <c r="F86" s="20">
        <v>45668</v>
      </c>
      <c r="G86" s="21" t="s">
        <v>11</v>
      </c>
      <c r="H86" s="17">
        <f t="shared" si="3"/>
        <v>1</v>
      </c>
      <c r="I86" s="22">
        <f t="shared" si="4"/>
        <v>7</v>
      </c>
      <c r="J86" s="23">
        <v>30.4</v>
      </c>
      <c r="K86" s="24">
        <f t="shared" si="5"/>
        <v>212.79999999999998</v>
      </c>
    </row>
    <row r="87" spans="1:11" ht="17.25" thickTop="1" thickBot="1">
      <c r="B87" s="17">
        <v>191106910</v>
      </c>
      <c r="C87" s="18">
        <v>15081</v>
      </c>
      <c r="D87" s="19">
        <v>45521</v>
      </c>
      <c r="E87" s="19">
        <v>45661</v>
      </c>
      <c r="F87" s="20">
        <v>45668</v>
      </c>
      <c r="G87" s="21" t="s">
        <v>10</v>
      </c>
      <c r="H87" s="17">
        <f t="shared" si="3"/>
        <v>2</v>
      </c>
      <c r="I87" s="22">
        <f t="shared" si="4"/>
        <v>7</v>
      </c>
      <c r="J87" s="23">
        <v>44.8</v>
      </c>
      <c r="K87" s="24">
        <f t="shared" si="5"/>
        <v>313.59999999999997</v>
      </c>
    </row>
    <row r="88" spans="1:11" s="1" customFormat="1" ht="17.25" thickTop="1" thickBot="1">
      <c r="A88" s="16"/>
      <c r="B88" s="17">
        <v>191515315</v>
      </c>
      <c r="C88" s="18">
        <v>15082</v>
      </c>
      <c r="D88" s="19">
        <v>45631</v>
      </c>
      <c r="E88" s="19">
        <v>45660</v>
      </c>
      <c r="F88" s="20">
        <v>45668</v>
      </c>
      <c r="G88" s="21" t="s">
        <v>10</v>
      </c>
      <c r="H88" s="17">
        <f t="shared" si="3"/>
        <v>2</v>
      </c>
      <c r="I88" s="22">
        <f t="shared" si="4"/>
        <v>8</v>
      </c>
      <c r="J88" s="23" t="s">
        <v>28</v>
      </c>
      <c r="K88" s="24">
        <f>56+44.8*7</f>
        <v>369.59999999999997</v>
      </c>
    </row>
    <row r="89" spans="1:11" ht="17.25" thickTop="1" thickBot="1">
      <c r="B89" s="17">
        <v>723393997</v>
      </c>
      <c r="C89" s="18">
        <v>15106</v>
      </c>
      <c r="D89" s="19">
        <v>45657</v>
      </c>
      <c r="E89" s="19">
        <v>45659</v>
      </c>
      <c r="F89" s="20">
        <v>45669</v>
      </c>
      <c r="G89" s="21" t="s">
        <v>10</v>
      </c>
      <c r="H89" s="17">
        <f t="shared" si="3"/>
        <v>2</v>
      </c>
      <c r="I89" s="22">
        <f t="shared" si="4"/>
        <v>10</v>
      </c>
      <c r="J89" s="23" t="s">
        <v>28</v>
      </c>
      <c r="K89" s="24">
        <f>56*2+44.8*8</f>
        <v>470.4</v>
      </c>
    </row>
    <row r="90" spans="1:11" ht="17.25" thickTop="1" thickBot="1">
      <c r="B90" s="17">
        <v>723392012</v>
      </c>
      <c r="C90" s="18">
        <v>15107</v>
      </c>
      <c r="D90" s="19">
        <v>45655</v>
      </c>
      <c r="E90" s="19">
        <v>45659</v>
      </c>
      <c r="F90" s="20">
        <v>45669</v>
      </c>
      <c r="G90" s="21" t="s">
        <v>10</v>
      </c>
      <c r="H90" s="17">
        <f t="shared" si="3"/>
        <v>2</v>
      </c>
      <c r="I90" s="22">
        <f t="shared" si="4"/>
        <v>10</v>
      </c>
      <c r="J90" s="23" t="s">
        <v>28</v>
      </c>
      <c r="K90" s="24">
        <f>56*2+44.8*8</f>
        <v>470.4</v>
      </c>
    </row>
    <row r="91" spans="1:11" ht="17.25" thickTop="1" thickBot="1">
      <c r="B91" s="17">
        <v>723382232</v>
      </c>
      <c r="C91" s="18">
        <v>15108</v>
      </c>
      <c r="D91" s="19">
        <v>45639</v>
      </c>
      <c r="E91" s="19">
        <v>45659</v>
      </c>
      <c r="F91" s="20">
        <v>45669</v>
      </c>
      <c r="G91" s="21" t="s">
        <v>11</v>
      </c>
      <c r="H91" s="17">
        <f t="shared" si="3"/>
        <v>1</v>
      </c>
      <c r="I91" s="22">
        <f t="shared" si="4"/>
        <v>10</v>
      </c>
      <c r="J91" s="23" t="s">
        <v>27</v>
      </c>
      <c r="K91" s="24">
        <f>38*2+30.4*8</f>
        <v>319.2</v>
      </c>
    </row>
    <row r="92" spans="1:11" ht="17.25" thickTop="1" thickBot="1">
      <c r="B92" s="17">
        <v>191541670</v>
      </c>
      <c r="C92" s="18">
        <v>15201</v>
      </c>
      <c r="D92" s="19">
        <v>45649</v>
      </c>
      <c r="E92" s="19">
        <v>45660</v>
      </c>
      <c r="F92" s="20">
        <v>45672</v>
      </c>
      <c r="G92" s="21" t="s">
        <v>14</v>
      </c>
      <c r="H92" s="17">
        <f t="shared" si="3"/>
        <v>3</v>
      </c>
      <c r="I92" s="22">
        <f t="shared" si="4"/>
        <v>12</v>
      </c>
      <c r="J92" s="23" t="s">
        <v>31</v>
      </c>
      <c r="K92" s="24">
        <f>76+62.4*11</f>
        <v>762.4</v>
      </c>
    </row>
    <row r="93" spans="1:11" ht="17.25" thickTop="1" thickBot="1">
      <c r="B93" s="17">
        <v>191541670</v>
      </c>
      <c r="C93" s="18">
        <v>15202</v>
      </c>
      <c r="D93" s="19">
        <v>45649</v>
      </c>
      <c r="E93" s="19">
        <v>45660</v>
      </c>
      <c r="F93" s="20">
        <v>45672</v>
      </c>
      <c r="G93" s="21" t="s">
        <v>10</v>
      </c>
      <c r="H93" s="17">
        <f t="shared" si="3"/>
        <v>2</v>
      </c>
      <c r="I93" s="22">
        <f t="shared" si="4"/>
        <v>12</v>
      </c>
      <c r="J93" s="23" t="s">
        <v>28</v>
      </c>
      <c r="K93" s="24">
        <f>56+44.8*11</f>
        <v>548.79999999999995</v>
      </c>
    </row>
    <row r="94" spans="1:11" ht="17.25" thickTop="1" thickBot="1">
      <c r="B94" s="17">
        <v>191541670</v>
      </c>
      <c r="C94" s="18">
        <v>15203</v>
      </c>
      <c r="D94" s="19">
        <v>45649</v>
      </c>
      <c r="E94" s="19">
        <v>45660</v>
      </c>
      <c r="F94" s="20">
        <v>45672</v>
      </c>
      <c r="G94" s="21" t="s">
        <v>10</v>
      </c>
      <c r="H94" s="17">
        <f t="shared" si="3"/>
        <v>2</v>
      </c>
      <c r="I94" s="22">
        <f t="shared" si="4"/>
        <v>12</v>
      </c>
      <c r="J94" s="23" t="s">
        <v>28</v>
      </c>
      <c r="K94" s="24">
        <f>56+44.8*11</f>
        <v>548.79999999999995</v>
      </c>
    </row>
    <row r="95" spans="1:11" ht="17.25" thickTop="1" thickBot="1">
      <c r="B95" s="17">
        <v>191404427</v>
      </c>
      <c r="C95" s="18">
        <v>15211</v>
      </c>
      <c r="D95" s="19">
        <v>45557</v>
      </c>
      <c r="E95" s="19">
        <v>45661</v>
      </c>
      <c r="F95" s="20">
        <v>45672</v>
      </c>
      <c r="G95" s="21" t="s">
        <v>10</v>
      </c>
      <c r="H95" s="17">
        <f t="shared" si="3"/>
        <v>2</v>
      </c>
      <c r="I95" s="22">
        <f t="shared" si="4"/>
        <v>11</v>
      </c>
      <c r="J95" s="23">
        <v>44.8</v>
      </c>
      <c r="K95" s="24">
        <f t="shared" si="5"/>
        <v>492.79999999999995</v>
      </c>
    </row>
    <row r="96" spans="1:11" ht="17.25" thickTop="1" thickBot="1">
      <c r="B96" s="17">
        <v>191404425</v>
      </c>
      <c r="C96" s="18">
        <v>15212</v>
      </c>
      <c r="D96" s="19">
        <v>45557</v>
      </c>
      <c r="E96" s="19">
        <v>45661</v>
      </c>
      <c r="F96" s="20">
        <v>45672</v>
      </c>
      <c r="G96" s="21" t="s">
        <v>10</v>
      </c>
      <c r="H96" s="17">
        <f t="shared" si="3"/>
        <v>2</v>
      </c>
      <c r="I96" s="22">
        <f t="shared" si="4"/>
        <v>11</v>
      </c>
      <c r="J96" s="23">
        <v>44.8</v>
      </c>
      <c r="K96" s="24">
        <f t="shared" si="5"/>
        <v>492.79999999999995</v>
      </c>
    </row>
    <row r="97" spans="1:11" ht="17.25" thickTop="1" thickBot="1">
      <c r="B97" s="28">
        <v>191404422</v>
      </c>
      <c r="C97" s="29">
        <v>15213</v>
      </c>
      <c r="D97" s="19">
        <v>45557</v>
      </c>
      <c r="E97" s="19">
        <v>45661</v>
      </c>
      <c r="F97" s="20">
        <v>45672</v>
      </c>
      <c r="G97" s="21" t="s">
        <v>11</v>
      </c>
      <c r="H97" s="17">
        <f t="shared" si="3"/>
        <v>1</v>
      </c>
      <c r="I97" s="22">
        <f t="shared" si="4"/>
        <v>11</v>
      </c>
      <c r="J97" s="23">
        <v>30.4</v>
      </c>
      <c r="K97" s="24">
        <f t="shared" si="5"/>
        <v>334.4</v>
      </c>
    </row>
    <row r="98" spans="1:11" ht="17.25" thickTop="1" thickBot="1">
      <c r="B98" s="17">
        <v>191404351</v>
      </c>
      <c r="C98" s="18">
        <v>15214</v>
      </c>
      <c r="D98" s="19">
        <v>45557</v>
      </c>
      <c r="E98" s="19">
        <v>45661</v>
      </c>
      <c r="F98" s="20">
        <v>45672</v>
      </c>
      <c r="G98" s="21" t="s">
        <v>11</v>
      </c>
      <c r="H98" s="17">
        <f t="shared" si="3"/>
        <v>1</v>
      </c>
      <c r="I98" s="22">
        <f t="shared" si="4"/>
        <v>11</v>
      </c>
      <c r="J98" s="23">
        <v>30.4</v>
      </c>
      <c r="K98" s="24">
        <f t="shared" si="5"/>
        <v>334.4</v>
      </c>
    </row>
    <row r="99" spans="1:11" ht="17.25" thickTop="1" thickBot="1">
      <c r="B99" s="17">
        <v>191404429</v>
      </c>
      <c r="C99" s="18">
        <v>15215</v>
      </c>
      <c r="D99" s="19">
        <v>45557</v>
      </c>
      <c r="E99" s="19">
        <v>45661</v>
      </c>
      <c r="F99" s="20">
        <v>45672</v>
      </c>
      <c r="G99" s="21" t="s">
        <v>10</v>
      </c>
      <c r="H99" s="17">
        <f t="shared" si="3"/>
        <v>2</v>
      </c>
      <c r="I99" s="22">
        <f t="shared" si="4"/>
        <v>11</v>
      </c>
      <c r="J99" s="23">
        <v>44.8</v>
      </c>
      <c r="K99" s="24">
        <f t="shared" si="5"/>
        <v>492.79999999999995</v>
      </c>
    </row>
    <row r="100" spans="1:11" ht="17.25" thickTop="1" thickBot="1">
      <c r="B100" s="17">
        <v>191507244</v>
      </c>
      <c r="C100" s="18">
        <v>15216</v>
      </c>
      <c r="D100" s="19">
        <v>45625</v>
      </c>
      <c r="E100" s="19">
        <v>45661</v>
      </c>
      <c r="F100" s="20">
        <v>45672</v>
      </c>
      <c r="G100" s="21" t="s">
        <v>10</v>
      </c>
      <c r="H100" s="17">
        <f t="shared" si="3"/>
        <v>2</v>
      </c>
      <c r="I100" s="22">
        <f t="shared" si="4"/>
        <v>11</v>
      </c>
      <c r="J100" s="23">
        <v>44.8</v>
      </c>
      <c r="K100" s="24">
        <f t="shared" si="5"/>
        <v>492.79999999999995</v>
      </c>
    </row>
    <row r="101" spans="1:11" ht="17.25" thickTop="1" thickBot="1">
      <c r="B101" s="17">
        <v>191404346</v>
      </c>
      <c r="C101" s="18">
        <v>15217</v>
      </c>
      <c r="D101" s="19">
        <v>45557</v>
      </c>
      <c r="E101" s="19">
        <v>45661</v>
      </c>
      <c r="F101" s="20">
        <v>45672</v>
      </c>
      <c r="G101" s="21" t="s">
        <v>10</v>
      </c>
      <c r="H101" s="17">
        <f t="shared" si="3"/>
        <v>2</v>
      </c>
      <c r="I101" s="22">
        <f t="shared" si="4"/>
        <v>11</v>
      </c>
      <c r="J101" s="23">
        <v>44.8</v>
      </c>
      <c r="K101" s="24">
        <f t="shared" si="5"/>
        <v>492.79999999999995</v>
      </c>
    </row>
    <row r="102" spans="1:11" ht="17.25" thickTop="1" thickBot="1">
      <c r="B102" s="17">
        <v>191404349</v>
      </c>
      <c r="C102" s="18">
        <v>15218</v>
      </c>
      <c r="D102" s="19">
        <v>45557</v>
      </c>
      <c r="E102" s="19">
        <v>45661</v>
      </c>
      <c r="F102" s="20">
        <v>45672</v>
      </c>
      <c r="G102" s="21" t="s">
        <v>10</v>
      </c>
      <c r="H102" s="17">
        <f t="shared" si="3"/>
        <v>2</v>
      </c>
      <c r="I102" s="22">
        <f t="shared" si="4"/>
        <v>11</v>
      </c>
      <c r="J102" s="23">
        <v>44.8</v>
      </c>
      <c r="K102" s="24">
        <f t="shared" si="5"/>
        <v>492.79999999999995</v>
      </c>
    </row>
    <row r="103" spans="1:11" ht="17.25" thickTop="1" thickBot="1">
      <c r="B103" s="17">
        <v>191550247</v>
      </c>
      <c r="C103" s="18">
        <v>15219</v>
      </c>
      <c r="D103" s="19">
        <v>45656</v>
      </c>
      <c r="E103" s="19">
        <v>45660</v>
      </c>
      <c r="F103" s="20">
        <v>45672</v>
      </c>
      <c r="G103" s="21" t="s">
        <v>10</v>
      </c>
      <c r="H103" s="17">
        <f t="shared" si="3"/>
        <v>2</v>
      </c>
      <c r="I103" s="22">
        <f t="shared" si="4"/>
        <v>12</v>
      </c>
      <c r="J103" s="23" t="s">
        <v>28</v>
      </c>
      <c r="K103" s="24">
        <f>56+44.8*11</f>
        <v>548.79999999999995</v>
      </c>
    </row>
    <row r="104" spans="1:11" ht="17.25" thickTop="1" thickBot="1">
      <c r="B104" s="17">
        <v>191546068</v>
      </c>
      <c r="C104" s="18">
        <v>15220</v>
      </c>
      <c r="D104" s="19">
        <v>45653</v>
      </c>
      <c r="E104" s="19">
        <v>45660</v>
      </c>
      <c r="F104" s="20">
        <v>45672</v>
      </c>
      <c r="G104" s="21" t="s">
        <v>10</v>
      </c>
      <c r="H104" s="17">
        <f t="shared" si="3"/>
        <v>2</v>
      </c>
      <c r="I104" s="22">
        <f t="shared" si="4"/>
        <v>12</v>
      </c>
      <c r="J104" s="23" t="s">
        <v>28</v>
      </c>
      <c r="K104" s="24">
        <f>56+44.8*11</f>
        <v>548.79999999999995</v>
      </c>
    </row>
    <row r="105" spans="1:11" s="1" customFormat="1" ht="17.25" thickTop="1" thickBot="1">
      <c r="A105" s="16"/>
      <c r="B105" s="17">
        <v>191543725</v>
      </c>
      <c r="C105" s="18">
        <v>15221</v>
      </c>
      <c r="D105" s="19">
        <v>45650</v>
      </c>
      <c r="E105" s="19">
        <v>45660</v>
      </c>
      <c r="F105" s="20">
        <v>45672</v>
      </c>
      <c r="G105" s="21" t="s">
        <v>10</v>
      </c>
      <c r="H105" s="17">
        <f t="shared" si="3"/>
        <v>2</v>
      </c>
      <c r="I105" s="22">
        <f t="shared" si="4"/>
        <v>12</v>
      </c>
      <c r="J105" s="23" t="s">
        <v>28</v>
      </c>
      <c r="K105" s="24">
        <f>56+44.8*11</f>
        <v>548.79999999999995</v>
      </c>
    </row>
    <row r="106" spans="1:11" ht="17.25" thickTop="1" thickBot="1">
      <c r="B106" s="17">
        <v>191535651</v>
      </c>
      <c r="C106" s="18">
        <v>15222</v>
      </c>
      <c r="D106" s="19">
        <v>45644</v>
      </c>
      <c r="E106" s="19">
        <v>45660</v>
      </c>
      <c r="F106" s="20">
        <v>45672</v>
      </c>
      <c r="G106" s="21" t="s">
        <v>10</v>
      </c>
      <c r="H106" s="17">
        <f t="shared" si="3"/>
        <v>2</v>
      </c>
      <c r="I106" s="22">
        <f t="shared" si="4"/>
        <v>12</v>
      </c>
      <c r="J106" s="23" t="s">
        <v>28</v>
      </c>
      <c r="K106" s="24">
        <f>56+44.8*11</f>
        <v>548.79999999999995</v>
      </c>
    </row>
    <row r="107" spans="1:11" ht="17.25" thickTop="1" thickBot="1">
      <c r="B107" s="17">
        <v>191555999</v>
      </c>
      <c r="C107" s="18">
        <v>15223</v>
      </c>
      <c r="D107" s="19">
        <v>45660</v>
      </c>
      <c r="E107" s="19">
        <v>45660</v>
      </c>
      <c r="F107" s="20">
        <v>45672</v>
      </c>
      <c r="G107" s="21" t="s">
        <v>13</v>
      </c>
      <c r="H107" s="17">
        <f t="shared" si="3"/>
        <v>2</v>
      </c>
      <c r="I107" s="22">
        <f t="shared" si="4"/>
        <v>12</v>
      </c>
      <c r="J107" s="23" t="s">
        <v>32</v>
      </c>
      <c r="K107" s="24">
        <f>70+56*11</f>
        <v>686</v>
      </c>
    </row>
    <row r="108" spans="1:11" ht="17.25" thickTop="1" thickBot="1">
      <c r="B108" s="17">
        <v>723394759</v>
      </c>
      <c r="C108" s="18">
        <v>15252</v>
      </c>
      <c r="D108" s="19">
        <v>45658</v>
      </c>
      <c r="E108" s="19">
        <v>45666</v>
      </c>
      <c r="F108" s="20">
        <v>45673</v>
      </c>
      <c r="G108" s="21" t="s">
        <v>10</v>
      </c>
      <c r="H108" s="17">
        <f t="shared" si="3"/>
        <v>2</v>
      </c>
      <c r="I108" s="22">
        <f t="shared" si="4"/>
        <v>7</v>
      </c>
      <c r="J108" s="23">
        <v>44.8</v>
      </c>
      <c r="K108" s="24">
        <f t="shared" si="5"/>
        <v>313.59999999999997</v>
      </c>
    </row>
    <row r="109" spans="1:11" ht="17.25" thickTop="1" thickBot="1">
      <c r="B109" s="17">
        <v>723395410</v>
      </c>
      <c r="C109" s="18">
        <v>15253</v>
      </c>
      <c r="D109" s="19">
        <v>45659</v>
      </c>
      <c r="E109" s="19">
        <v>45666</v>
      </c>
      <c r="F109" s="20">
        <v>45673</v>
      </c>
      <c r="G109" s="21" t="s">
        <v>10</v>
      </c>
      <c r="H109" s="17">
        <f t="shared" si="3"/>
        <v>2</v>
      </c>
      <c r="I109" s="22">
        <f t="shared" si="4"/>
        <v>7</v>
      </c>
      <c r="J109" s="23">
        <v>44.8</v>
      </c>
      <c r="K109" s="24">
        <f t="shared" si="5"/>
        <v>313.59999999999997</v>
      </c>
    </row>
    <row r="110" spans="1:11" ht="17.25" thickTop="1" thickBot="1">
      <c r="B110" s="17">
        <v>723396619</v>
      </c>
      <c r="C110" s="18">
        <v>15254</v>
      </c>
      <c r="D110" s="19">
        <v>45660</v>
      </c>
      <c r="E110" s="19">
        <v>45666</v>
      </c>
      <c r="F110" s="20">
        <v>45673</v>
      </c>
      <c r="G110" s="21" t="s">
        <v>10</v>
      </c>
      <c r="H110" s="17">
        <f t="shared" si="3"/>
        <v>2</v>
      </c>
      <c r="I110" s="22">
        <f t="shared" si="4"/>
        <v>7</v>
      </c>
      <c r="J110" s="23">
        <v>44.8</v>
      </c>
      <c r="K110" s="24">
        <f t="shared" si="5"/>
        <v>313.59999999999997</v>
      </c>
    </row>
    <row r="111" spans="1:11" ht="17.25" thickTop="1" thickBot="1">
      <c r="B111" s="17">
        <v>723397346</v>
      </c>
      <c r="C111" s="18">
        <v>15255</v>
      </c>
      <c r="D111" s="19">
        <v>45661</v>
      </c>
      <c r="E111" s="19">
        <v>45666</v>
      </c>
      <c r="F111" s="20">
        <v>45673</v>
      </c>
      <c r="G111" s="21" t="s">
        <v>10</v>
      </c>
      <c r="H111" s="17">
        <f t="shared" si="3"/>
        <v>2</v>
      </c>
      <c r="I111" s="22">
        <f t="shared" si="4"/>
        <v>7</v>
      </c>
      <c r="J111" s="23">
        <v>44.8</v>
      </c>
      <c r="K111" s="24">
        <f t="shared" si="5"/>
        <v>313.59999999999997</v>
      </c>
    </row>
    <row r="112" spans="1:11" ht="17.25" thickTop="1" thickBot="1">
      <c r="B112" s="17">
        <v>723399858</v>
      </c>
      <c r="C112" s="18">
        <v>15256</v>
      </c>
      <c r="D112" s="19">
        <v>45664</v>
      </c>
      <c r="E112" s="19">
        <v>45666</v>
      </c>
      <c r="F112" s="20">
        <v>45673</v>
      </c>
      <c r="G112" s="21" t="s">
        <v>10</v>
      </c>
      <c r="H112" s="17">
        <f t="shared" si="3"/>
        <v>2</v>
      </c>
      <c r="I112" s="22">
        <f t="shared" si="4"/>
        <v>7</v>
      </c>
      <c r="J112" s="23">
        <v>44.8</v>
      </c>
      <c r="K112" s="24">
        <f t="shared" si="5"/>
        <v>313.59999999999997</v>
      </c>
    </row>
    <row r="113" spans="2:11" ht="17.25" thickTop="1" thickBot="1">
      <c r="B113" s="17">
        <v>723400635</v>
      </c>
      <c r="C113" s="18">
        <v>15257</v>
      </c>
      <c r="D113" s="19">
        <v>45664</v>
      </c>
      <c r="E113" s="19">
        <v>45666</v>
      </c>
      <c r="F113" s="20">
        <v>45673</v>
      </c>
      <c r="G113" s="21" t="s">
        <v>11</v>
      </c>
      <c r="H113" s="17">
        <f t="shared" si="3"/>
        <v>1</v>
      </c>
      <c r="I113" s="22">
        <f t="shared" si="4"/>
        <v>7</v>
      </c>
      <c r="J113" s="23">
        <v>30.4</v>
      </c>
      <c r="K113" s="24">
        <f t="shared" si="5"/>
        <v>212.79999999999998</v>
      </c>
    </row>
    <row r="114" spans="2:11" ht="17.25" thickTop="1" thickBot="1">
      <c r="B114" s="17">
        <v>191541736</v>
      </c>
      <c r="C114" s="18">
        <v>15333</v>
      </c>
      <c r="D114" s="19">
        <v>45650</v>
      </c>
      <c r="E114" s="19">
        <v>45668</v>
      </c>
      <c r="F114" s="20">
        <v>45675</v>
      </c>
      <c r="G114" s="21" t="s">
        <v>10</v>
      </c>
      <c r="H114" s="17">
        <f t="shared" si="3"/>
        <v>2</v>
      </c>
      <c r="I114" s="22">
        <f t="shared" si="4"/>
        <v>7</v>
      </c>
      <c r="J114" s="23">
        <v>44.8</v>
      </c>
      <c r="K114" s="24">
        <f t="shared" si="5"/>
        <v>313.59999999999997</v>
      </c>
    </row>
    <row r="115" spans="2:11" ht="17.25" thickTop="1" thickBot="1">
      <c r="B115" s="17">
        <v>191533752</v>
      </c>
      <c r="C115" s="18">
        <v>15334</v>
      </c>
      <c r="D115" s="19">
        <v>45643</v>
      </c>
      <c r="E115" s="19">
        <v>45668</v>
      </c>
      <c r="F115" s="20">
        <v>45675</v>
      </c>
      <c r="G115" s="21" t="s">
        <v>10</v>
      </c>
      <c r="H115" s="17">
        <f t="shared" si="3"/>
        <v>2</v>
      </c>
      <c r="I115" s="22">
        <f t="shared" si="4"/>
        <v>7</v>
      </c>
      <c r="J115" s="23">
        <v>44.8</v>
      </c>
      <c r="K115" s="24">
        <f t="shared" si="5"/>
        <v>313.59999999999997</v>
      </c>
    </row>
    <row r="116" spans="2:11" ht="17.25" thickTop="1" thickBot="1">
      <c r="B116" s="17">
        <v>191530015</v>
      </c>
      <c r="C116" s="18">
        <v>15335</v>
      </c>
      <c r="D116" s="19">
        <v>45640</v>
      </c>
      <c r="E116" s="19">
        <v>45668</v>
      </c>
      <c r="F116" s="20">
        <v>45675</v>
      </c>
      <c r="G116" s="21" t="s">
        <v>10</v>
      </c>
      <c r="H116" s="17">
        <f t="shared" si="3"/>
        <v>2</v>
      </c>
      <c r="I116" s="22">
        <f t="shared" si="4"/>
        <v>7</v>
      </c>
      <c r="J116" s="23">
        <v>44.8</v>
      </c>
      <c r="K116" s="24">
        <f t="shared" si="5"/>
        <v>313.59999999999997</v>
      </c>
    </row>
    <row r="117" spans="2:11" ht="17.25" thickTop="1" thickBot="1">
      <c r="B117" s="17">
        <v>191473460</v>
      </c>
      <c r="C117" s="18">
        <v>15336</v>
      </c>
      <c r="D117" s="19">
        <v>45607</v>
      </c>
      <c r="E117" s="19">
        <v>45668</v>
      </c>
      <c r="F117" s="20">
        <v>45675</v>
      </c>
      <c r="G117" s="21" t="s">
        <v>10</v>
      </c>
      <c r="H117" s="17">
        <f t="shared" si="3"/>
        <v>2</v>
      </c>
      <c r="I117" s="22">
        <f t="shared" si="4"/>
        <v>7</v>
      </c>
      <c r="J117" s="23">
        <v>44.8</v>
      </c>
      <c r="K117" s="24">
        <f t="shared" si="5"/>
        <v>313.59999999999997</v>
      </c>
    </row>
    <row r="118" spans="2:11" ht="17.25" thickTop="1" thickBot="1">
      <c r="B118" s="17">
        <v>191526141</v>
      </c>
      <c r="C118" s="18">
        <v>15337</v>
      </c>
      <c r="D118" s="19">
        <v>45637</v>
      </c>
      <c r="E118" s="19">
        <v>45668</v>
      </c>
      <c r="F118" s="20">
        <v>45675</v>
      </c>
      <c r="G118" s="21" t="s">
        <v>10</v>
      </c>
      <c r="H118" s="17">
        <f t="shared" si="3"/>
        <v>2</v>
      </c>
      <c r="I118" s="22">
        <f t="shared" si="4"/>
        <v>7</v>
      </c>
      <c r="J118" s="23">
        <v>44.8</v>
      </c>
      <c r="K118" s="24">
        <f t="shared" si="5"/>
        <v>313.59999999999997</v>
      </c>
    </row>
    <row r="119" spans="2:11" ht="17.25" thickTop="1" thickBot="1">
      <c r="B119" s="17">
        <v>191526141</v>
      </c>
      <c r="C119" s="18">
        <v>15338</v>
      </c>
      <c r="D119" s="19">
        <v>45637</v>
      </c>
      <c r="E119" s="19">
        <v>45668</v>
      </c>
      <c r="F119" s="20">
        <v>45675</v>
      </c>
      <c r="G119" s="21" t="s">
        <v>10</v>
      </c>
      <c r="H119" s="17">
        <f t="shared" si="3"/>
        <v>2</v>
      </c>
      <c r="I119" s="22">
        <f t="shared" si="4"/>
        <v>7</v>
      </c>
      <c r="J119" s="23">
        <v>44.8</v>
      </c>
      <c r="K119" s="24">
        <f t="shared" si="5"/>
        <v>313.59999999999997</v>
      </c>
    </row>
    <row r="120" spans="2:11" ht="17.25" thickTop="1" thickBot="1">
      <c r="B120" s="17">
        <v>191519607</v>
      </c>
      <c r="C120" s="18">
        <v>15339</v>
      </c>
      <c r="D120" s="19">
        <v>45632</v>
      </c>
      <c r="E120" s="19">
        <v>45668</v>
      </c>
      <c r="F120" s="20">
        <v>45675</v>
      </c>
      <c r="G120" s="21" t="s">
        <v>10</v>
      </c>
      <c r="H120" s="17">
        <f t="shared" si="3"/>
        <v>2</v>
      </c>
      <c r="I120" s="22">
        <f t="shared" si="4"/>
        <v>7</v>
      </c>
      <c r="J120" s="23">
        <v>44.8</v>
      </c>
      <c r="K120" s="24">
        <f t="shared" si="5"/>
        <v>313.59999999999997</v>
      </c>
    </row>
    <row r="121" spans="2:11" ht="17.25" thickTop="1" thickBot="1">
      <c r="B121" s="17">
        <v>191508617</v>
      </c>
      <c r="C121" s="18">
        <v>15340</v>
      </c>
      <c r="D121" s="19">
        <v>45625</v>
      </c>
      <c r="E121" s="19">
        <v>45660</v>
      </c>
      <c r="F121" s="20">
        <v>45675</v>
      </c>
      <c r="G121" s="21" t="s">
        <v>10</v>
      </c>
      <c r="H121" s="17">
        <f t="shared" si="3"/>
        <v>2</v>
      </c>
      <c r="I121" s="22">
        <f t="shared" si="4"/>
        <v>15</v>
      </c>
      <c r="J121" s="23" t="s">
        <v>28</v>
      </c>
      <c r="K121" s="24">
        <f>56+44.8*14</f>
        <v>683.19999999999993</v>
      </c>
    </row>
    <row r="122" spans="2:11" ht="17.25" thickTop="1" thickBot="1">
      <c r="B122" s="17">
        <v>191508617</v>
      </c>
      <c r="C122" s="18">
        <v>15341</v>
      </c>
      <c r="D122" s="19">
        <v>45625</v>
      </c>
      <c r="E122" s="19">
        <v>45660</v>
      </c>
      <c r="F122" s="20">
        <v>45675</v>
      </c>
      <c r="G122" s="21" t="s">
        <v>10</v>
      </c>
      <c r="H122" s="17">
        <f t="shared" si="3"/>
        <v>2</v>
      </c>
      <c r="I122" s="22">
        <f t="shared" si="4"/>
        <v>15</v>
      </c>
      <c r="J122" s="23" t="s">
        <v>28</v>
      </c>
      <c r="K122" s="24">
        <f>56+44.8*14</f>
        <v>683.19999999999993</v>
      </c>
    </row>
    <row r="123" spans="2:11" ht="17.25" thickTop="1" thickBot="1">
      <c r="B123" s="17">
        <v>723395225</v>
      </c>
      <c r="C123" s="18">
        <v>15387</v>
      </c>
      <c r="D123" s="19">
        <v>45659</v>
      </c>
      <c r="E123" s="19">
        <v>45662</v>
      </c>
      <c r="F123" s="20">
        <v>45676</v>
      </c>
      <c r="G123" s="21" t="s">
        <v>10</v>
      </c>
      <c r="H123" s="17">
        <f t="shared" si="3"/>
        <v>2</v>
      </c>
      <c r="I123" s="22">
        <f t="shared" si="4"/>
        <v>14</v>
      </c>
      <c r="J123" s="23">
        <v>44.8</v>
      </c>
      <c r="K123" s="24">
        <f t="shared" si="5"/>
        <v>627.19999999999993</v>
      </c>
    </row>
    <row r="124" spans="2:11" ht="16.5" thickTop="1">
      <c r="B124" s="17">
        <v>723396810</v>
      </c>
      <c r="C124" s="18">
        <v>15388</v>
      </c>
      <c r="D124" s="19">
        <v>45660</v>
      </c>
      <c r="E124" s="19">
        <v>45666</v>
      </c>
      <c r="F124" s="20">
        <v>45676</v>
      </c>
      <c r="G124" s="21" t="s">
        <v>10</v>
      </c>
      <c r="H124" s="17">
        <f t="shared" si="3"/>
        <v>2</v>
      </c>
      <c r="I124" s="22">
        <f t="shared" si="4"/>
        <v>10</v>
      </c>
      <c r="J124" s="23">
        <v>44.8</v>
      </c>
      <c r="K124" s="24">
        <f t="shared" si="5"/>
        <v>448</v>
      </c>
    </row>
  </sheetData>
  <autoFilter ref="C1:L19">
    <filterColumn colId="1"/>
    <filterColumn colId="2"/>
    <filterColumn colId="5"/>
    <filterColumn colId="6"/>
  </autoFilter>
  <dataValidations count="1">
    <dataValidation type="list" allowBlank="1" showInputMessage="1" showErrorMessage="1" sqref="G2:G124">
      <formula1>'[3]ROOM TYPE'!$A$1:$A$5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F12" sqref="F12"/>
    </sheetView>
  </sheetViews>
  <sheetFormatPr defaultRowHeight="12.75"/>
  <cols>
    <col min="1" max="1" width="12.5703125" style="2" customWidth="1"/>
    <col min="2" max="2" width="12" style="2" bestFit="1" customWidth="1"/>
    <col min="3" max="3" width="12.28515625" style="2" bestFit="1" customWidth="1"/>
    <col min="4" max="4" width="13.140625" style="2" bestFit="1" customWidth="1"/>
    <col min="5" max="5" width="12.5703125" style="2" bestFit="1" customWidth="1"/>
    <col min="6" max="6" width="11.5703125" style="2" customWidth="1"/>
    <col min="7" max="7" width="17.85546875" style="2" bestFit="1" customWidth="1"/>
    <col min="8" max="8" width="12.5703125" style="2" bestFit="1" customWidth="1"/>
    <col min="9" max="16384" width="9.140625" style="2"/>
  </cols>
  <sheetData>
    <row r="1" spans="1:8" ht="24.95" customHeight="1" thickTop="1" thickBot="1">
      <c r="A1" s="8" t="s">
        <v>4</v>
      </c>
      <c r="B1" s="9" t="s">
        <v>5</v>
      </c>
      <c r="C1" s="13" t="s">
        <v>11</v>
      </c>
      <c r="D1" s="13" t="s">
        <v>10</v>
      </c>
      <c r="E1" s="13" t="s">
        <v>14</v>
      </c>
      <c r="F1" s="11" t="s">
        <v>8</v>
      </c>
      <c r="G1" s="14" t="s">
        <v>13</v>
      </c>
      <c r="H1" s="13"/>
    </row>
    <row r="2" spans="1:8" ht="24.95" customHeight="1" thickTop="1">
      <c r="A2" s="5">
        <v>45139</v>
      </c>
      <c r="B2" s="5">
        <v>45596</v>
      </c>
      <c r="C2" s="6">
        <v>34</v>
      </c>
      <c r="D2" s="6">
        <v>48</v>
      </c>
      <c r="E2" s="6">
        <v>66</v>
      </c>
      <c r="F2" s="7">
        <v>46</v>
      </c>
      <c r="G2" s="7">
        <v>60</v>
      </c>
    </row>
    <row r="3" spans="1:8" ht="24.95" customHeight="1">
      <c r="A3" s="5">
        <v>45597</v>
      </c>
      <c r="B3" s="5">
        <v>45688</v>
      </c>
      <c r="C3" s="6">
        <v>38</v>
      </c>
      <c r="D3" s="6">
        <f>28*2</f>
        <v>56</v>
      </c>
      <c r="E3" s="6">
        <f>26*3</f>
        <v>78</v>
      </c>
      <c r="F3" s="7">
        <f>28+14</f>
        <v>42</v>
      </c>
      <c r="G3" s="7">
        <f>28+28+14</f>
        <v>70</v>
      </c>
    </row>
    <row r="4" spans="1:8" ht="14.25">
      <c r="A4" s="3"/>
      <c r="B4" s="3"/>
    </row>
  </sheetData>
  <dataValidations count="1">
    <dataValidation type="list" allowBlank="1" showInputMessage="1" showErrorMessage="1" sqref="G1:H1 C1:E1">
      <formula1>'[2]ROOM TYPE'!$A$1:$A$5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selection activeCell="D2" sqref="D2"/>
    </sheetView>
  </sheetViews>
  <sheetFormatPr defaultRowHeight="12.75"/>
  <cols>
    <col min="1" max="1" width="11.28515625" bestFit="1" customWidth="1"/>
    <col min="2" max="2" width="12" bestFit="1" customWidth="1"/>
    <col min="3" max="3" width="12.28515625" bestFit="1" customWidth="1"/>
    <col min="4" max="4" width="13.140625" bestFit="1" customWidth="1"/>
    <col min="7" max="7" width="17.85546875" bestFit="1" customWidth="1"/>
  </cols>
  <sheetData>
    <row r="1" spans="1:7" s="2" customFormat="1" ht="24.95" customHeight="1" thickTop="1" thickBot="1">
      <c r="A1" s="8" t="s">
        <v>4</v>
      </c>
      <c r="B1" s="9" t="s">
        <v>5</v>
      </c>
      <c r="C1" s="13" t="s">
        <v>11</v>
      </c>
      <c r="D1" s="13" t="s">
        <v>10</v>
      </c>
      <c r="E1" s="10" t="s">
        <v>9</v>
      </c>
      <c r="F1" s="11" t="s">
        <v>8</v>
      </c>
      <c r="G1" s="14" t="s">
        <v>13</v>
      </c>
    </row>
    <row r="2" spans="1:7" s="2" customFormat="1" ht="24.95" customHeight="1" thickTop="1">
      <c r="A2" s="5">
        <v>45620</v>
      </c>
      <c r="B2" s="5">
        <v>45649</v>
      </c>
      <c r="C2" s="6">
        <f>38*0.8</f>
        <v>30.400000000000002</v>
      </c>
      <c r="D2" s="6">
        <f>56*0.8</f>
        <v>44.800000000000004</v>
      </c>
      <c r="E2" s="6">
        <f>78*0.8</f>
        <v>62.400000000000006</v>
      </c>
      <c r="F2" s="7">
        <f>42*0.8</f>
        <v>33.6</v>
      </c>
      <c r="G2" s="7">
        <f>70*0.8</f>
        <v>56</v>
      </c>
    </row>
    <row r="3" spans="1:7" s="2" customFormat="1" ht="24.95" customHeight="1">
      <c r="A3" s="5">
        <v>45650</v>
      </c>
      <c r="B3" s="5">
        <v>45660</v>
      </c>
      <c r="C3" s="6">
        <v>38</v>
      </c>
      <c r="D3" s="6">
        <f>28*2</f>
        <v>56</v>
      </c>
      <c r="E3" s="6">
        <f>26*3</f>
        <v>78</v>
      </c>
      <c r="F3" s="7">
        <f>28+14</f>
        <v>42</v>
      </c>
      <c r="G3" s="7">
        <f>28+28+14</f>
        <v>70</v>
      </c>
    </row>
    <row r="4" spans="1:7" s="2" customFormat="1" ht="24.95" customHeight="1">
      <c r="A4" s="5">
        <v>45661</v>
      </c>
      <c r="B4" s="5">
        <v>45688</v>
      </c>
      <c r="C4" s="6">
        <f>38*0.8</f>
        <v>30.400000000000002</v>
      </c>
      <c r="D4" s="6">
        <f>56*0.8</f>
        <v>44.800000000000004</v>
      </c>
      <c r="E4" s="6">
        <f>78*0.8</f>
        <v>62.400000000000006</v>
      </c>
      <c r="F4" s="7">
        <f>42*0.8</f>
        <v>33.6</v>
      </c>
      <c r="G4" s="7">
        <f>70*0.8</f>
        <v>56</v>
      </c>
    </row>
    <row r="5" spans="1:7" s="2" customFormat="1" ht="14.25">
      <c r="A5" s="3"/>
      <c r="B5" s="3"/>
    </row>
    <row r="6" spans="1:7" s="2" customFormat="1"/>
    <row r="7" spans="1:7" s="2" customFormat="1"/>
    <row r="8" spans="1:7" s="2" customFormat="1"/>
    <row r="9" spans="1:7" s="2" customFormat="1"/>
    <row r="10" spans="1:7" s="2" customFormat="1"/>
    <row r="11" spans="1:7" s="2" customFormat="1"/>
    <row r="12" spans="1:7" s="2" customFormat="1"/>
    <row r="13" spans="1:7" s="2" customFormat="1"/>
    <row r="14" spans="1:7" s="2" customFormat="1"/>
    <row r="15" spans="1:7" s="2" customFormat="1"/>
    <row r="16" spans="1:7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</sheetData>
  <dataValidations count="1">
    <dataValidation type="list" allowBlank="1" showInputMessage="1" showErrorMessage="1" sqref="G1 C1:D1">
      <formula1>'[2]ROOM TYPE'!$A$1:$A$5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statment</vt:lpstr>
      <vt:lpstr>contract</vt:lpstr>
      <vt:lpstr>spo24.11 to 31.01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Area-Credit2</cp:lastModifiedBy>
  <cp:lastPrinted>2022-12-03T08:03:17Z</cp:lastPrinted>
  <dcterms:created xsi:type="dcterms:W3CDTF">2016-10-13T07:40:59Z</dcterms:created>
  <dcterms:modified xsi:type="dcterms:W3CDTF">2025-01-28T11:14:56Z</dcterms:modified>
</cp:coreProperties>
</file>