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7965EFB2-AC63-486D-8691-D4DBBED9D2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ment" sheetId="6" r:id="rId1"/>
    <sheet name="contract" sheetId="7" r:id="rId2"/>
    <sheet name="spo from 14.07 to 11.10" sheetId="34" r:id="rId3"/>
    <sheet name="spo from 12.10 to 15.11" sheetId="36" r:id="rId4"/>
    <sheet name="spo from 16.11 to 28.02" sheetId="35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statment!$B$1:$K$19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4" l="1"/>
  <c r="E12" i="34"/>
  <c r="H12" i="34" s="1"/>
  <c r="D12" i="34"/>
  <c r="J12" i="34" s="1"/>
  <c r="H11" i="34"/>
  <c r="F11" i="34"/>
  <c r="E11" i="34"/>
  <c r="D11" i="34"/>
  <c r="J11" i="34" s="1"/>
  <c r="H10" i="34"/>
  <c r="F10" i="34"/>
  <c r="D10" i="34"/>
  <c r="I10" i="34" s="1"/>
  <c r="I9" i="34"/>
  <c r="G9" i="34"/>
  <c r="F9" i="34"/>
  <c r="E9" i="34"/>
  <c r="H9" i="34" s="1"/>
  <c r="D9" i="34"/>
  <c r="J9" i="34" s="1"/>
  <c r="F8" i="34"/>
  <c r="E8" i="34"/>
  <c r="H8" i="34" s="1"/>
  <c r="D8" i="34"/>
  <c r="J8" i="34" s="1"/>
  <c r="I7" i="34"/>
  <c r="F7" i="34"/>
  <c r="E7" i="34"/>
  <c r="H7" i="34" s="1"/>
  <c r="D7" i="34"/>
  <c r="J7" i="34" s="1"/>
  <c r="F6" i="34"/>
  <c r="E6" i="34"/>
  <c r="H6" i="34" s="1"/>
  <c r="D6" i="34"/>
  <c r="I6" i="34" s="1"/>
  <c r="E57" i="7"/>
  <c r="E4" i="36"/>
  <c r="H4" i="36" s="1"/>
  <c r="D4" i="36"/>
  <c r="I4" i="36" s="1"/>
  <c r="F4" i="36"/>
  <c r="H5" i="36"/>
  <c r="H3" i="36"/>
  <c r="H2" i="36"/>
  <c r="J5" i="36"/>
  <c r="I5" i="36"/>
  <c r="G5" i="36"/>
  <c r="F5" i="36"/>
  <c r="J3" i="36"/>
  <c r="I3" i="36"/>
  <c r="G3" i="36"/>
  <c r="F3" i="36"/>
  <c r="J2" i="36"/>
  <c r="I2" i="36"/>
  <c r="G2" i="36"/>
  <c r="J3" i="35"/>
  <c r="J4" i="35"/>
  <c r="J6" i="35"/>
  <c r="J7" i="35"/>
  <c r="H3" i="35"/>
  <c r="H4" i="35"/>
  <c r="H6" i="35"/>
  <c r="H7" i="35"/>
  <c r="G3" i="35"/>
  <c r="I3" i="35" s="1"/>
  <c r="G4" i="35"/>
  <c r="I4" i="35" s="1"/>
  <c r="G6" i="35"/>
  <c r="I6" i="35" s="1"/>
  <c r="G7" i="35"/>
  <c r="I7" i="35" s="1"/>
  <c r="J6" i="34" l="1"/>
  <c r="G10" i="34"/>
  <c r="G12" i="34"/>
  <c r="I12" i="34"/>
  <c r="G7" i="34"/>
  <c r="G6" i="34"/>
  <c r="I8" i="34"/>
  <c r="I11" i="34"/>
  <c r="G8" i="34"/>
  <c r="J10" i="34"/>
  <c r="G11" i="34"/>
  <c r="G4" i="36"/>
  <c r="J4" i="36"/>
  <c r="F4" i="35"/>
  <c r="F5" i="35"/>
  <c r="F6" i="35"/>
  <c r="F7" i="35"/>
  <c r="F3" i="35"/>
  <c r="E5" i="35"/>
  <c r="H5" i="35" s="1"/>
  <c r="D5" i="35"/>
  <c r="F2" i="35"/>
  <c r="E2" i="35"/>
  <c r="H2" i="35" s="1"/>
  <c r="D2" i="35"/>
  <c r="G2" i="35" s="1"/>
  <c r="I2" i="35" s="1"/>
  <c r="H10" i="7"/>
  <c r="H12" i="7"/>
  <c r="H9" i="7"/>
  <c r="H8" i="7"/>
  <c r="G11" i="7"/>
  <c r="G8" i="7"/>
  <c r="F14" i="7"/>
  <c r="F13" i="7"/>
  <c r="F12" i="7"/>
  <c r="F11" i="7"/>
  <c r="F10" i="7"/>
  <c r="F9" i="7"/>
  <c r="F8" i="7"/>
  <c r="E14" i="7"/>
  <c r="H14" i="7" s="1"/>
  <c r="E13" i="7"/>
  <c r="H13" i="7" s="1"/>
  <c r="E11" i="7"/>
  <c r="H11" i="7" s="1"/>
  <c r="E10" i="7"/>
  <c r="E9" i="7"/>
  <c r="E8" i="7"/>
  <c r="D14" i="7"/>
  <c r="G14" i="7" s="1"/>
  <c r="D13" i="7"/>
  <c r="G13" i="7" s="1"/>
  <c r="D12" i="7"/>
  <c r="G12" i="7" s="1"/>
  <c r="D11" i="7"/>
  <c r="D10" i="7"/>
  <c r="G10" i="7" s="1"/>
  <c r="D9" i="7"/>
  <c r="G9" i="7" s="1"/>
  <c r="D8" i="7"/>
  <c r="J5" i="35" l="1"/>
  <c r="G5" i="35"/>
  <c r="I5" i="35" s="1"/>
  <c r="J2" i="35"/>
  <c r="J14" i="7"/>
  <c r="I14" i="7"/>
  <c r="J13" i="7" l="1"/>
  <c r="I13" i="7"/>
  <c r="J12" i="7"/>
  <c r="I12" i="7"/>
  <c r="J11" i="7"/>
  <c r="I11" i="7"/>
  <c r="J10" i="7"/>
  <c r="I10" i="7"/>
  <c r="J9" i="7"/>
  <c r="I9" i="7"/>
  <c r="J8" i="7"/>
  <c r="I8" i="7"/>
  <c r="I3" i="34" l="1"/>
  <c r="I4" i="34"/>
  <c r="I5" i="34"/>
  <c r="I2" i="34"/>
  <c r="G3" i="34"/>
  <c r="G4" i="34"/>
  <c r="G5" i="34"/>
  <c r="G2" i="34"/>
  <c r="F4" i="34" l="1"/>
  <c r="F5" i="34"/>
  <c r="F3" i="34"/>
  <c r="J2" i="34"/>
  <c r="J5" i="34" l="1"/>
  <c r="J4" i="34"/>
  <c r="J3" i="34"/>
  <c r="J3" i="7"/>
  <c r="J4" i="7"/>
  <c r="J5" i="7"/>
  <c r="J6" i="7"/>
  <c r="J7" i="7"/>
  <c r="J2" i="7"/>
  <c r="I3" i="7" l="1"/>
  <c r="I4" i="7"/>
  <c r="I5" i="7"/>
  <c r="I6" i="7"/>
  <c r="I7" i="7"/>
  <c r="I2" i="7"/>
</calcChain>
</file>

<file path=xl/sharedStrings.xml><?xml version="1.0" encoding="utf-8"?>
<sst xmlns="http://schemas.openxmlformats.org/spreadsheetml/2006/main" count="58" uniqueCount="25">
  <si>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</si>
  <si>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</si>
  <si>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</si>
  <si>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</si>
  <si>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</si>
  <si>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</si>
  <si>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</si>
  <si>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</si>
  <si>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</si>
  <si>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</si>
  <si>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</si>
  <si>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SGL-BUN</t>
  </si>
  <si>
    <t>SGL-CH</t>
  </si>
  <si>
    <t>DBL-BUN+CH</t>
  </si>
  <si>
    <t xml:space="preserve">TPL-BUNG </t>
  </si>
  <si>
    <t xml:space="preserve">DBL-DEX </t>
  </si>
  <si>
    <t>TPL-DEX</t>
  </si>
  <si>
    <t>SGL-DEX</t>
  </si>
  <si>
    <t xml:space="preserve">DBL-BUNG </t>
  </si>
  <si>
    <t>pax</t>
  </si>
  <si>
    <t>19/12/2024</t>
  </si>
  <si>
    <t>20/12/2024</t>
  </si>
  <si>
    <t>21/12/2024</t>
  </si>
  <si>
    <t>23/12/2024</t>
  </si>
  <si>
    <t>24/12/2024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</si>
</sst>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5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3" fillId="4" borderId="1" xfId="0" applyFont="1" applyFill="1" applyBorder="1" applyAlignment="1">
      <alignment horizontal="center" vertical="center"/>
    </xf>
    <xf numFmtId="0" fontId="7" fillId="6" borderId="4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7" borderId="4" xfId="0" applyNumberFormat="1" applyFont="1" applyFill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0" fillId="0" borderId="3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/>
    <xf numFmtId="0" fontId="12" fillId="3" borderId="7" xfId="0" applyNumberFormat="1" applyFont="1" applyFill="1" applyBorder="1" applyAlignment="1">
      <alignment horizontal="center"/>
    </xf>
    <xf numFmtId="14" fontId="7" fillId="0" borderId="3" xfId="0" applyNumberFormat="1" applyFont="1" applyBorder="1"/>
    <xf numFmtId="0" fontId="7" fillId="3" borderId="3" xfId="0" applyNumberFormat="1" applyFont="1" applyFill="1" applyBorder="1" applyAlignment="1">
      <alignment horizontal="center"/>
    </xf>
    <xf numFmtId="0" fontId="7" fillId="9" borderId="3" xfId="0" applyNumberFormat="1" applyFont="1" applyFill="1" applyBorder="1" applyAlignment="1">
      <alignment horizontal="center"/>
    </xf>
    <xf numFmtId="14" fontId="7" fillId="0" borderId="4" xfId="0" applyNumberFormat="1" applyFont="1" applyBorder="1"/>
    <xf numFmtId="0" fontId="7" fillId="3" borderId="4" xfId="0" applyNumberFormat="1" applyFont="1" applyFill="1" applyBorder="1" applyAlignment="1">
      <alignment horizontal="center"/>
    </xf>
    <xf numFmtId="0" fontId="7" fillId="9" borderId="4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0" fillId="0" borderId="0" xfId="0" applyFill="1"/>
    <xf numFmtId="14" fontId="13" fillId="4" borderId="8" xfId="0" applyNumberFormat="1" applyFont="1" applyFill="1" applyBorder="1" applyAlignment="1">
      <alignment horizontal="center"/>
    </xf>
    <xf numFmtId="16" fontId="0" fillId="0" borderId="0" xfId="0" applyNumberFormat="1"/>
    <xf numFmtId="0" fontId="7" fillId="3" borderId="9" xfId="0" applyNumberFormat="1" applyFont="1" applyFill="1" applyBorder="1" applyAlignment="1">
      <alignment horizontal="center"/>
    </xf>
    <xf numFmtId="14" fontId="0" fillId="0" borderId="0" xfId="0" applyNumberFormat="1"/>
    <xf numFmtId="165" fontId="5" fillId="4" borderId="2" xfId="0" applyNumberFormat="1" applyFont="1" applyFill="1" applyBorder="1" applyAlignment="1">
      <alignment horizontal="center"/>
    </xf>
    <xf numFmtId="164" fontId="0" fillId="0" borderId="0" xfId="1" applyFont="1"/>
    <xf numFmtId="1" fontId="13" fillId="10" borderId="10" xfId="0" applyNumberFormat="1" applyFont="1" applyFill="1" applyBorder="1" applyAlignment="1">
      <alignment horizontal="center"/>
    </xf>
    <xf numFmtId="0" fontId="13" fillId="10" borderId="3" xfId="0" applyNumberFormat="1" applyFont="1" applyFill="1" applyBorder="1" applyAlignment="1">
      <alignment horizontal="center"/>
    </xf>
    <xf numFmtId="165" fontId="14" fillId="11" borderId="10" xfId="0" applyNumberFormat="1" applyFont="1" applyFill="1" applyBorder="1" applyAlignment="1">
      <alignment horizontal="center" vertical="center"/>
    </xf>
    <xf numFmtId="165" fontId="5" fillId="4" borderId="10" xfId="0" applyNumberFormat="1" applyFont="1" applyFill="1" applyBorder="1" applyAlignment="1">
      <alignment horizontal="center"/>
    </xf>
    <xf numFmtId="3" fontId="13" fillId="0" borderId="10" xfId="1" applyNumberFormat="1" applyFont="1" applyFill="1" applyBorder="1" applyAlignment="1">
      <alignment horizontal="center"/>
    </xf>
    <xf numFmtId="164" fontId="13" fillId="0" borderId="3" xfId="1" applyFont="1" applyFill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center" vertical="center"/>
    </xf>
    <xf numFmtId="1" fontId="13" fillId="10" borderId="4" xfId="0" applyNumberFormat="1" applyFont="1" applyFill="1" applyBorder="1" applyAlignment="1">
      <alignment horizontal="center"/>
    </xf>
    <xf numFmtId="0" fontId="13" fillId="10" borderId="4" xfId="0" applyNumberFormat="1" applyFont="1" applyFill="1" applyBorder="1" applyAlignment="1">
      <alignment horizontal="center"/>
    </xf>
    <xf numFmtId="165" fontId="14" fillId="11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/>
    </xf>
    <xf numFmtId="3" fontId="13" fillId="0" borderId="4" xfId="1" applyNumberFormat="1" applyFont="1" applyFill="1" applyBorder="1" applyAlignment="1">
      <alignment horizontal="center"/>
    </xf>
    <xf numFmtId="164" fontId="13" fillId="0" borderId="4" xfId="1" applyFont="1" applyFill="1" applyBorder="1" applyAlignment="1">
      <alignment horizontal="right" vertical="center"/>
    </xf>
    <xf numFmtId="164" fontId="13" fillId="0" borderId="4" xfId="0" applyNumberFormat="1" applyFont="1" applyFill="1" applyBorder="1" applyAlignment="1">
      <alignment horizontal="center" vertical="center"/>
    </xf>
    <xf numFmtId="1" fontId="5" fillId="4" borderId="10" xfId="0" applyNumberFormat="1" applyFont="1" applyFill="1" applyBorder="1" applyAlignment="1">
      <alignment horizontal="center"/>
    </xf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438150</xdr:colOff>
      <xdr:row>28</xdr:row>
      <xdr:rowOff>19050</xdr:rowOff>
    </xdr:from>
    <xdr:to>
      <xdr:col>20</xdr:col>
      <xdr:colOff>123825</xdr:colOff>
      <xdr:row>45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20150" y="4886325"/>
          <a:ext cx="7991475" cy="2733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27</xdr:row>
      <xdr:rowOff>28575</xdr:rowOff>
    </xdr:from>
    <xdr:to>
      <xdr:col>8</xdr:col>
      <xdr:colOff>39273</xdr:colOff>
      <xdr:row>49</xdr:row>
      <xdr:rowOff>57651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733925"/>
          <a:ext cx="8402223" cy="3591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17</xdr:row>
      <xdr:rowOff>47625</xdr:rowOff>
    </xdr:from>
    <xdr:to>
      <xdr:col>7</xdr:col>
      <xdr:colOff>1029683</xdr:colOff>
      <xdr:row>32</xdr:row>
      <xdr:rowOff>76543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09725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12</xdr:col>
      <xdr:colOff>391899</xdr:colOff>
      <xdr:row>41</xdr:row>
      <xdr:rowOff>66730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7350" y="5305425"/>
          <a:ext cx="9840699" cy="390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13</xdr:col>
      <xdr:colOff>76737</xdr:colOff>
      <xdr:row>35</xdr:row>
      <xdr:rowOff>143234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3514725"/>
          <a:ext cx="3848637" cy="2572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1104900</xdr:colOff>
      <xdr:row>8</xdr:row>
      <xdr:rowOff>142875</xdr:rowOff>
    </xdr:from>
    <xdr:to>
      <xdr:col>20</xdr:col>
      <xdr:colOff>105758</xdr:colOff>
      <xdr:row>24</xdr:row>
      <xdr:rowOff>9868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0" y="1562100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8</xdr:row>
      <xdr:rowOff>114300</xdr:rowOff>
    </xdr:from>
    <xdr:to>
      <xdr:col>7</xdr:col>
      <xdr:colOff>715398</xdr:colOff>
      <xdr:row>48</xdr:row>
      <xdr:rowOff>38994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533525"/>
          <a:ext cx="7325748" cy="640169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22</xdr:col>
      <xdr:colOff>468083</xdr:colOff>
      <xdr:row>37</xdr:row>
      <xdr:rowOff>76233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5953125"/>
          <a:ext cx="9726383" cy="2381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14</xdr:col>
      <xdr:colOff>153765</xdr:colOff>
      <xdr:row>53</xdr:row>
      <xdr:rowOff>85760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" y="8543925"/>
          <a:ext cx="9774015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6</xdr:row>
      <xdr:rowOff>95250</xdr:rowOff>
    </xdr:from>
    <xdr:to>
      <xdr:col>8</xdr:col>
      <xdr:colOff>744143</xdr:colOff>
      <xdr:row>8</xdr:row>
      <xdr:rowOff>57190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1190625"/>
          <a:ext cx="8545118" cy="285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8</xdr:row>
      <xdr:rowOff>133350</xdr:rowOff>
    </xdr:from>
    <xdr:to>
      <xdr:col>6</xdr:col>
      <xdr:colOff>172199</xdr:colOff>
      <xdr:row>24</xdr:row>
      <xdr:rowOff>95606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390650"/>
          <a:ext cx="5363324" cy="2553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28.12/Anex-DEC%20till%20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-DE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Biblio%20-Dec/Copy%20of%20biblio%20-DEC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  <sheetName val="Dec 24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3" sqref="F3"/>
    </sheetView>
  </sheetViews>
  <sheetFormatPr defaultRowHeight="13.2"/>
  <cols>
    <col min="1" max="1" width="20.6640625" customWidth="1"/>
    <col min="2" max="2" width="24.33203125" bestFit="1" customWidth="1"/>
    <col min="3" max="3" width="20.6640625" customWidth="1"/>
    <col min="4" max="4" width="18.44140625" bestFit="1" customWidth="1"/>
    <col min="5" max="6" width="20.6640625" customWidth="1"/>
    <col min="7" max="7" width="24" bestFit="1" customWidth="1"/>
    <col min="8" max="8" width="24" customWidth="1"/>
    <col min="9" max="11" width="20.6640625" customWidth="1"/>
  </cols>
  <sheetData>
    <row r="1" spans="1:11" ht="18.600000000000001" thickTop="1" thickBot="1">
      <c r="B1" s="3" t="s">
        <v>9</v>
      </c>
      <c r="C1" s="3" t="s">
        <v>10</v>
      </c>
      <c r="D1" s="2" t="s">
        <v>8</v>
      </c>
      <c r="E1" s="1" t="s">
        <v>1</v>
      </c>
      <c r="F1" s="1" t="s">
        <v>2</v>
      </c>
      <c r="G1" s="1" t="s">
        <v>3</v>
      </c>
      <c r="H1" s="1" t="s">
        <v>19</v>
      </c>
      <c r="I1" s="3" t="s">
        <v>0</v>
      </c>
      <c r="J1" s="3" t="s">
        <v>7</v>
      </c>
      <c r="K1" s="1" t="s">
        <v>4</v>
      </c>
    </row>
    <row r="2" spans="1:11" s="21" customFormat="1" ht="16.8" thickTop="1" thickBot="1">
      <c r="A2" s="20"/>
      <c r="B2" s="28">
        <v>5815118</v>
      </c>
      <c r="C2" s="29">
        <v>14216</v>
      </c>
      <c r="D2" s="30" t="s">
        <v>20</v>
      </c>
      <c r="E2" s="31" t="s">
        <v>21</v>
      </c>
      <c r="F2" s="31" t="s">
        <v>22</v>
      </c>
      <c r="G2" s="31" t="s">
        <v>18</v>
      </c>
      <c r="H2" s="42">
        <v>1</v>
      </c>
      <c r="I2" s="32">
        <v>1</v>
      </c>
      <c r="J2" s="33">
        <v>74</v>
      </c>
      <c r="K2" s="34">
        <v>74</v>
      </c>
    </row>
    <row r="3" spans="1:11" s="21" customFormat="1" ht="16.2" thickTop="1">
      <c r="A3" s="20"/>
      <c r="B3" s="28">
        <v>5815118</v>
      </c>
      <c r="C3" s="29">
        <v>14216</v>
      </c>
      <c r="D3" s="30" t="s">
        <v>20</v>
      </c>
      <c r="E3" s="31" t="s">
        <v>23</v>
      </c>
      <c r="F3" s="31" t="s">
        <v>24</v>
      </c>
      <c r="G3" s="31" t="s">
        <v>18</v>
      </c>
      <c r="H3" s="42">
        <v>1</v>
      </c>
      <c r="I3" s="32">
        <v>1</v>
      </c>
      <c r="J3" s="33">
        <v>74</v>
      </c>
      <c r="K3" s="34">
        <v>74</v>
      </c>
    </row>
    <row r="4" spans="1:11" ht="15.6">
      <c r="B4" s="35"/>
      <c r="C4" s="36"/>
      <c r="D4" s="37"/>
      <c r="E4" s="38"/>
      <c r="F4" s="38"/>
      <c r="G4" s="38"/>
      <c r="H4" s="42"/>
      <c r="I4" s="39"/>
      <c r="J4" s="40"/>
      <c r="K4" s="41"/>
    </row>
    <row r="5" spans="1:11" ht="15.6">
      <c r="B5" s="35"/>
      <c r="C5" s="36"/>
      <c r="D5" s="37"/>
      <c r="E5" s="38"/>
      <c r="F5" s="38"/>
      <c r="G5" s="38"/>
      <c r="H5" s="42"/>
      <c r="I5" s="39"/>
      <c r="J5" s="40"/>
      <c r="K5" s="41"/>
    </row>
    <row r="6" spans="1:11" ht="15.6">
      <c r="B6" s="35"/>
      <c r="C6" s="36"/>
      <c r="D6" s="37"/>
      <c r="E6" s="38"/>
      <c r="F6" s="38"/>
      <c r="G6" s="38"/>
      <c r="H6" s="42"/>
      <c r="I6" s="39"/>
      <c r="J6" s="40"/>
      <c r="K6" s="41"/>
    </row>
    <row r="7" spans="1:11" ht="15.6">
      <c r="B7" s="35"/>
      <c r="C7" s="36"/>
      <c r="D7" s="37"/>
      <c r="E7" s="38"/>
      <c r="F7" s="38"/>
      <c r="G7" s="38"/>
      <c r="H7" s="42"/>
      <c r="I7" s="39"/>
      <c r="J7" s="40"/>
      <c r="K7" s="41"/>
    </row>
    <row r="8" spans="1:11" ht="15.6">
      <c r="B8" s="35"/>
      <c r="C8" s="36"/>
      <c r="D8" s="37"/>
      <c r="E8" s="38"/>
      <c r="F8" s="38"/>
      <c r="G8" s="38"/>
      <c r="H8" s="42"/>
      <c r="I8" s="39"/>
      <c r="J8" s="40"/>
      <c r="K8" s="41"/>
    </row>
    <row r="9" spans="1:11" ht="15.6">
      <c r="B9" s="35"/>
      <c r="C9" s="36"/>
      <c r="D9" s="37"/>
      <c r="E9" s="38"/>
      <c r="F9" s="38"/>
      <c r="G9" s="38"/>
      <c r="H9" s="42"/>
      <c r="I9" s="39"/>
      <c r="J9" s="40"/>
      <c r="K9" s="41"/>
    </row>
    <row r="10" spans="1:11" ht="15.6">
      <c r="B10" s="35"/>
      <c r="C10" s="36"/>
      <c r="D10" s="37"/>
      <c r="E10" s="38"/>
      <c r="F10" s="38"/>
      <c r="G10" s="38"/>
      <c r="H10" s="42"/>
      <c r="I10" s="39"/>
      <c r="J10" s="40"/>
      <c r="K10" s="41"/>
    </row>
    <row r="11" spans="1:11" ht="15.6">
      <c r="B11" s="35"/>
      <c r="C11" s="36"/>
      <c r="D11" s="37"/>
      <c r="E11" s="38"/>
      <c r="F11" s="38"/>
      <c r="G11" s="38"/>
      <c r="H11" s="42"/>
      <c r="I11" s="39"/>
      <c r="J11" s="40"/>
      <c r="K11" s="41"/>
    </row>
    <row r="12" spans="1:11" ht="15.6">
      <c r="B12" s="35"/>
      <c r="C12" s="36"/>
      <c r="D12" s="37"/>
      <c r="E12" s="38"/>
      <c r="F12" s="38"/>
      <c r="G12" s="38"/>
      <c r="H12" s="42"/>
      <c r="I12" s="39"/>
      <c r="J12" s="40"/>
      <c r="K12" s="41"/>
    </row>
    <row r="13" spans="1:11" ht="15.6">
      <c r="B13" s="35"/>
      <c r="C13" s="36"/>
      <c r="D13" s="37"/>
      <c r="E13" s="38"/>
      <c r="F13" s="38"/>
      <c r="G13" s="38"/>
      <c r="H13" s="42"/>
      <c r="I13" s="39"/>
      <c r="J13" s="40"/>
      <c r="K13" s="41"/>
    </row>
    <row r="14" spans="1:11" ht="15.6">
      <c r="B14" s="35"/>
      <c r="C14" s="36"/>
      <c r="D14" s="37"/>
      <c r="E14" s="38"/>
      <c r="F14" s="38"/>
      <c r="G14" s="38"/>
      <c r="H14" s="42"/>
      <c r="I14" s="39"/>
      <c r="J14" s="40"/>
      <c r="K14" s="41"/>
    </row>
    <row r="15" spans="1:11" ht="15.6">
      <c r="B15" s="35"/>
      <c r="C15" s="36"/>
      <c r="D15" s="37"/>
      <c r="E15" s="38"/>
      <c r="F15" s="38"/>
      <c r="G15" s="38"/>
      <c r="H15" s="42"/>
      <c r="I15" s="39"/>
      <c r="J15" s="40"/>
      <c r="K15" s="41"/>
    </row>
    <row r="16" spans="1:11" ht="15.6">
      <c r="B16" s="35"/>
      <c r="C16" s="36"/>
      <c r="D16" s="37"/>
      <c r="E16" s="38"/>
      <c r="F16" s="38"/>
      <c r="G16" s="38"/>
      <c r="H16" s="42"/>
      <c r="I16" s="39"/>
      <c r="J16" s="40"/>
      <c r="K16" s="41"/>
    </row>
    <row r="17" spans="2:11" ht="15.6">
      <c r="B17" s="35"/>
      <c r="C17" s="36"/>
      <c r="D17" s="37"/>
      <c r="E17" s="38"/>
      <c r="F17" s="38"/>
      <c r="G17" s="38"/>
      <c r="H17" s="42"/>
      <c r="I17" s="39"/>
      <c r="J17" s="40"/>
      <c r="K17" s="41"/>
    </row>
    <row r="18" spans="2:11" ht="15.6">
      <c r="B18" s="35"/>
      <c r="C18" s="36"/>
      <c r="D18" s="37"/>
      <c r="E18" s="38"/>
      <c r="F18" s="38"/>
      <c r="G18" s="38"/>
      <c r="H18" s="42"/>
      <c r="I18" s="39"/>
      <c r="J18" s="40"/>
      <c r="K18" s="41"/>
    </row>
    <row r="19" spans="2:11" ht="15.6">
      <c r="B19" s="35"/>
      <c r="C19" s="36"/>
      <c r="D19" s="37"/>
      <c r="E19" s="38"/>
      <c r="F19" s="38"/>
      <c r="G19" s="38"/>
      <c r="H19" s="42"/>
      <c r="I19" s="39"/>
      <c r="J19" s="40"/>
      <c r="K19" s="41"/>
    </row>
  </sheetData>
  <autoFilter ref="B1:K19" xr:uid="{00000000-0009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'D:\Hotels\Siva Golden Bay\Invoices DEC 24\New Till 28.12\[Anex-DEC till 28.xlsx]ROOM TYPE'!#REF!</xm:f>
          </x14:formula1>
          <xm:sqref>G2:G19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selection activeCell="E1" sqref="E1"/>
    </sheetView>
  </sheetViews>
  <sheetFormatPr defaultRowHeight="13.2"/>
  <cols>
    <col min="1" max="8" width="15.6640625" customWidth="1"/>
    <col min="9" max="9" width="24" bestFit="1" customWidth="1"/>
  </cols>
  <sheetData>
    <row r="1" spans="1:10" ht="16.8" thickTop="1" thickBot="1">
      <c r="A1" s="11" t="s">
        <v>5</v>
      </c>
      <c r="B1" s="12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4.4" thickTop="1">
      <c r="A2" s="14">
        <v>45413</v>
      </c>
      <c r="B2" s="14">
        <v>45422</v>
      </c>
      <c r="C2" s="15">
        <v>69</v>
      </c>
      <c r="D2" s="15">
        <v>86</v>
      </c>
      <c r="E2" s="15">
        <v>120</v>
      </c>
      <c r="F2" s="15">
        <v>76</v>
      </c>
      <c r="G2" s="15">
        <v>100</v>
      </c>
      <c r="H2" s="16">
        <v>141</v>
      </c>
      <c r="I2">
        <f>+(D2/2)*2.5</f>
        <v>107.5</v>
      </c>
      <c r="J2">
        <f>+(D2/2)*1.5</f>
        <v>64.5</v>
      </c>
    </row>
    <row r="3" spans="1:10" ht="13.8">
      <c r="A3" s="17">
        <v>45423</v>
      </c>
      <c r="B3" s="17">
        <v>45473</v>
      </c>
      <c r="C3" s="18">
        <v>62</v>
      </c>
      <c r="D3" s="18">
        <v>78</v>
      </c>
      <c r="E3" s="18">
        <v>108</v>
      </c>
      <c r="F3" s="18">
        <v>69</v>
      </c>
      <c r="G3" s="18">
        <v>92</v>
      </c>
      <c r="H3" s="19">
        <v>129</v>
      </c>
      <c r="I3">
        <f t="shared" ref="I3:I7" si="0">+(D3/2)*2.5</f>
        <v>97.5</v>
      </c>
      <c r="J3">
        <f t="shared" ref="J3:J7" si="1">+(D3/2)*1.5</f>
        <v>58.5</v>
      </c>
    </row>
    <row r="4" spans="1:10" ht="13.8">
      <c r="A4" s="17">
        <v>45474</v>
      </c>
      <c r="B4" s="17">
        <v>45504</v>
      </c>
      <c r="C4" s="18">
        <v>59</v>
      </c>
      <c r="D4" s="18">
        <v>74</v>
      </c>
      <c r="E4" s="18">
        <v>102</v>
      </c>
      <c r="F4" s="18">
        <v>66</v>
      </c>
      <c r="G4" s="18">
        <v>88</v>
      </c>
      <c r="H4" s="19">
        <v>123</v>
      </c>
      <c r="I4">
        <f t="shared" si="0"/>
        <v>92.5</v>
      </c>
      <c r="J4">
        <f t="shared" si="1"/>
        <v>55.5</v>
      </c>
    </row>
    <row r="5" spans="1:10" ht="13.8">
      <c r="A5" s="17">
        <v>45505</v>
      </c>
      <c r="B5" s="17">
        <v>45535</v>
      </c>
      <c r="C5" s="18">
        <v>80</v>
      </c>
      <c r="D5" s="18">
        <v>100</v>
      </c>
      <c r="E5" s="18">
        <v>141</v>
      </c>
      <c r="F5" s="18">
        <v>87</v>
      </c>
      <c r="G5" s="18">
        <v>114</v>
      </c>
      <c r="H5" s="19">
        <v>162</v>
      </c>
      <c r="I5">
        <f t="shared" si="0"/>
        <v>125</v>
      </c>
      <c r="J5">
        <f t="shared" si="1"/>
        <v>75</v>
      </c>
    </row>
    <row r="6" spans="1:10" ht="13.8">
      <c r="A6" s="17">
        <v>45536</v>
      </c>
      <c r="B6" s="17">
        <v>45565</v>
      </c>
      <c r="C6" s="18">
        <v>59</v>
      </c>
      <c r="D6" s="18">
        <v>74</v>
      </c>
      <c r="E6" s="18">
        <v>102</v>
      </c>
      <c r="F6" s="18">
        <v>66</v>
      </c>
      <c r="G6" s="18">
        <v>88</v>
      </c>
      <c r="H6" s="19">
        <v>123</v>
      </c>
      <c r="I6">
        <f t="shared" si="0"/>
        <v>92.5</v>
      </c>
      <c r="J6">
        <f t="shared" si="1"/>
        <v>55.5</v>
      </c>
    </row>
    <row r="7" spans="1:10" ht="14.4" thickBot="1">
      <c r="A7" s="17">
        <v>45566</v>
      </c>
      <c r="B7" s="17">
        <v>45596</v>
      </c>
      <c r="C7" s="18">
        <v>80</v>
      </c>
      <c r="D7" s="18">
        <v>100</v>
      </c>
      <c r="E7" s="18">
        <v>141</v>
      </c>
      <c r="F7" s="18">
        <v>87</v>
      </c>
      <c r="G7" s="18">
        <v>114</v>
      </c>
      <c r="H7" s="19">
        <v>162</v>
      </c>
      <c r="I7">
        <f t="shared" si="0"/>
        <v>125</v>
      </c>
      <c r="J7">
        <f t="shared" si="1"/>
        <v>75</v>
      </c>
    </row>
    <row r="8" spans="1:10" ht="14.4" thickTop="1">
      <c r="A8" s="14">
        <v>45597</v>
      </c>
      <c r="B8" s="14">
        <v>45611</v>
      </c>
      <c r="C8" s="15">
        <v>78</v>
      </c>
      <c r="D8" s="15">
        <f>49*2</f>
        <v>98</v>
      </c>
      <c r="E8" s="15">
        <f>46*3</f>
        <v>138</v>
      </c>
      <c r="F8" s="15">
        <f>+C8+7</f>
        <v>85</v>
      </c>
      <c r="G8" s="15">
        <f>+D8+14</f>
        <v>112</v>
      </c>
      <c r="H8" s="16">
        <f>+E8+21</f>
        <v>159</v>
      </c>
      <c r="I8">
        <f>+(D8/2)*2.5</f>
        <v>122.5</v>
      </c>
      <c r="J8">
        <f>+(D8/2)*1.5</f>
        <v>73.5</v>
      </c>
    </row>
    <row r="9" spans="1:10" ht="13.8">
      <c r="A9" s="17">
        <v>45612</v>
      </c>
      <c r="B9" s="17">
        <v>45649</v>
      </c>
      <c r="C9" s="18">
        <v>58</v>
      </c>
      <c r="D9" s="18">
        <f>36*2</f>
        <v>72</v>
      </c>
      <c r="E9" s="18">
        <f>33*3</f>
        <v>99</v>
      </c>
      <c r="F9" s="24">
        <f t="shared" ref="F9:F14" si="2">+C9+7</f>
        <v>65</v>
      </c>
      <c r="G9" s="18">
        <f>+D9+14</f>
        <v>86</v>
      </c>
      <c r="H9" s="19">
        <f>+E9+21</f>
        <v>120</v>
      </c>
      <c r="I9">
        <f t="shared" ref="I9:I13" si="3">+(D9/2)*2.5</f>
        <v>90</v>
      </c>
      <c r="J9">
        <f t="shared" ref="J9:J13" si="4">+(D9/2)*1.5</f>
        <v>54</v>
      </c>
    </row>
    <row r="10" spans="1:10" ht="13.8">
      <c r="A10" s="17">
        <v>45650</v>
      </c>
      <c r="B10" s="17">
        <v>45667</v>
      </c>
      <c r="C10" s="18">
        <v>82</v>
      </c>
      <c r="D10" s="18">
        <f>51*2</f>
        <v>102</v>
      </c>
      <c r="E10" s="18">
        <f>48*3</f>
        <v>144</v>
      </c>
      <c r="F10" s="18">
        <f t="shared" si="2"/>
        <v>89</v>
      </c>
      <c r="G10" s="18">
        <f t="shared" ref="G10:G14" si="5">+D10+14</f>
        <v>116</v>
      </c>
      <c r="H10" s="19">
        <f t="shared" ref="H10:H14" si="6">+E10+21</f>
        <v>165</v>
      </c>
      <c r="I10">
        <f t="shared" si="3"/>
        <v>127.5</v>
      </c>
      <c r="J10">
        <f t="shared" si="4"/>
        <v>76.5</v>
      </c>
    </row>
    <row r="11" spans="1:10" ht="13.8">
      <c r="A11" s="17">
        <v>45668</v>
      </c>
      <c r="B11" s="17">
        <v>45716</v>
      </c>
      <c r="C11" s="18">
        <v>50</v>
      </c>
      <c r="D11" s="18">
        <f>31*2</f>
        <v>62</v>
      </c>
      <c r="E11" s="18">
        <f>28*3</f>
        <v>84</v>
      </c>
      <c r="F11" s="18">
        <f t="shared" si="2"/>
        <v>57</v>
      </c>
      <c r="G11" s="18">
        <f t="shared" si="5"/>
        <v>76</v>
      </c>
      <c r="H11" s="19">
        <f t="shared" si="6"/>
        <v>105</v>
      </c>
      <c r="I11">
        <f t="shared" si="3"/>
        <v>77.5</v>
      </c>
      <c r="J11">
        <f t="shared" si="4"/>
        <v>46.5</v>
      </c>
    </row>
    <row r="12" spans="1:10" ht="13.8">
      <c r="A12" s="17">
        <v>45717</v>
      </c>
      <c r="B12" s="17">
        <v>45739</v>
      </c>
      <c r="C12" s="18">
        <v>58</v>
      </c>
      <c r="D12" s="18">
        <f>36*2</f>
        <v>72</v>
      </c>
      <c r="E12" s="18">
        <v>99</v>
      </c>
      <c r="F12" s="18">
        <f t="shared" si="2"/>
        <v>65</v>
      </c>
      <c r="G12" s="18">
        <f t="shared" si="5"/>
        <v>86</v>
      </c>
      <c r="H12" s="19">
        <f t="shared" si="6"/>
        <v>120</v>
      </c>
      <c r="I12">
        <f t="shared" si="3"/>
        <v>90</v>
      </c>
      <c r="J12">
        <f t="shared" si="4"/>
        <v>54</v>
      </c>
    </row>
    <row r="13" spans="1:10" ht="13.8">
      <c r="A13" s="17">
        <v>45740</v>
      </c>
      <c r="B13" s="17">
        <v>45755</v>
      </c>
      <c r="C13" s="18">
        <v>62</v>
      </c>
      <c r="D13" s="18">
        <f>39*2</f>
        <v>78</v>
      </c>
      <c r="E13" s="18">
        <f>36*3</f>
        <v>108</v>
      </c>
      <c r="F13" s="18">
        <f t="shared" si="2"/>
        <v>69</v>
      </c>
      <c r="G13" s="18">
        <f t="shared" si="5"/>
        <v>92</v>
      </c>
      <c r="H13" s="19">
        <f t="shared" si="6"/>
        <v>129</v>
      </c>
      <c r="I13">
        <f t="shared" si="3"/>
        <v>97.5</v>
      </c>
      <c r="J13">
        <f t="shared" si="4"/>
        <v>58.5</v>
      </c>
    </row>
    <row r="14" spans="1:10" ht="13.8">
      <c r="A14" s="17">
        <v>45756</v>
      </c>
      <c r="B14" s="17">
        <v>45777</v>
      </c>
      <c r="C14" s="18">
        <v>74</v>
      </c>
      <c r="D14" s="18">
        <f>43*2</f>
        <v>86</v>
      </c>
      <c r="E14" s="18">
        <f>43*3</f>
        <v>129</v>
      </c>
      <c r="F14" s="18">
        <f t="shared" si="2"/>
        <v>81</v>
      </c>
      <c r="G14" s="18">
        <f t="shared" si="5"/>
        <v>100</v>
      </c>
      <c r="H14" s="19">
        <f t="shared" si="6"/>
        <v>150</v>
      </c>
      <c r="I14">
        <f t="shared" ref="I14" si="7">+(D14/2)*2.5</f>
        <v>107.5</v>
      </c>
      <c r="J14">
        <f t="shared" ref="J14" si="8">+(D14/2)*1.5</f>
        <v>64.5</v>
      </c>
    </row>
    <row r="56" spans="5:5">
      <c r="E56" s="25">
        <v>41472</v>
      </c>
    </row>
    <row r="57" spans="5:5">
      <c r="E57">
        <f>31/10/2024</f>
        <v>1.5316205533596838E-3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-DEC.xlsx]ROOM TYPE'!#REF!</xm:f>
          </x14:formula1>
          <xm:sqref>C1:E1</xm:sqref>
        </x14:dataValidation>
        <x14:dataValidation type="list" allowBlank="1" showInputMessage="1" showErrorMessage="1" xr:uid="{00000000-0002-0000-0100-000002000000}">
          <x14:formula1>
            <xm:f>'D:\Hotels\Siva Golden Bay\Invoices DEC 24\Biblio -Dec\[Copy of biblio -DEC (2).xlsx]ROOM TYPE'!#REF!</xm:f>
          </x14:formula1>
          <xm:sqref>G1:H1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G1" sqref="G1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45487</v>
      </c>
      <c r="B2" s="7">
        <v>45504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v>123</v>
      </c>
      <c r="I2">
        <f>+D2/2*2.5</f>
        <v>92.5</v>
      </c>
      <c r="J2">
        <f>+(D2/2)*1.5</f>
        <v>55.5</v>
      </c>
    </row>
    <row r="3" spans="1:10" ht="13.8">
      <c r="A3" s="7">
        <v>45505</v>
      </c>
      <c r="B3" s="7">
        <v>45535</v>
      </c>
      <c r="C3" s="4">
        <v>51</v>
      </c>
      <c r="D3" s="4">
        <v>64</v>
      </c>
      <c r="E3" s="4">
        <v>87</v>
      </c>
      <c r="F3" s="5">
        <f>+C3+7</f>
        <v>58</v>
      </c>
      <c r="G3" s="6">
        <f t="shared" ref="G3:G5" si="0">+D3+14</f>
        <v>78</v>
      </c>
      <c r="H3" s="8">
        <v>81</v>
      </c>
      <c r="I3">
        <f t="shared" ref="I3:I5" si="1">+D3/2*2.5</f>
        <v>80</v>
      </c>
      <c r="J3">
        <f>+(D3/2)*1.5</f>
        <v>48</v>
      </c>
    </row>
    <row r="4" spans="1:10" ht="13.8">
      <c r="A4" s="7">
        <v>45536</v>
      </c>
      <c r="B4" s="7">
        <v>45565</v>
      </c>
      <c r="C4" s="4">
        <v>53</v>
      </c>
      <c r="D4" s="4">
        <v>66</v>
      </c>
      <c r="E4" s="4">
        <v>90</v>
      </c>
      <c r="F4" s="5">
        <f t="shared" ref="F4:F5" si="2">+C4+7</f>
        <v>60</v>
      </c>
      <c r="G4" s="6">
        <f t="shared" si="0"/>
        <v>80</v>
      </c>
      <c r="H4" s="8">
        <v>75</v>
      </c>
      <c r="I4">
        <f t="shared" si="1"/>
        <v>82.5</v>
      </c>
      <c r="J4">
        <f>+(D4/2)*1.5</f>
        <v>49.5</v>
      </c>
    </row>
    <row r="5" spans="1:10" ht="14.4" thickBot="1">
      <c r="A5" s="7">
        <v>45566</v>
      </c>
      <c r="B5" s="7">
        <v>45596</v>
      </c>
      <c r="C5" s="4">
        <v>59</v>
      </c>
      <c r="D5" s="4">
        <v>74</v>
      </c>
      <c r="E5" s="4">
        <v>102</v>
      </c>
      <c r="F5" s="5">
        <f t="shared" si="2"/>
        <v>66</v>
      </c>
      <c r="G5" s="6">
        <f t="shared" si="0"/>
        <v>88</v>
      </c>
      <c r="H5" s="8">
        <v>75</v>
      </c>
      <c r="I5">
        <f t="shared" si="1"/>
        <v>92.5</v>
      </c>
      <c r="J5">
        <f>+(D5/2)*1.5</f>
        <v>55.5</v>
      </c>
    </row>
    <row r="6" spans="1:10" ht="14.4" thickTop="1">
      <c r="A6" s="14">
        <v>45597</v>
      </c>
      <c r="B6" s="14">
        <v>45611</v>
      </c>
      <c r="C6" s="15">
        <v>78</v>
      </c>
      <c r="D6" s="15">
        <f>49*2</f>
        <v>98</v>
      </c>
      <c r="E6" s="15">
        <f>46*3</f>
        <v>138</v>
      </c>
      <c r="F6" s="15">
        <f>+C6+7</f>
        <v>85</v>
      </c>
      <c r="G6" s="15">
        <f>+D6+14</f>
        <v>112</v>
      </c>
      <c r="H6" s="16">
        <f>+E6+21</f>
        <v>159</v>
      </c>
      <c r="I6">
        <f>+(D6/2)*2.5</f>
        <v>122.5</v>
      </c>
      <c r="J6">
        <f>+(D6/2)*1.5</f>
        <v>73.5</v>
      </c>
    </row>
    <row r="7" spans="1:10" ht="13.8">
      <c r="A7" s="17">
        <v>45612</v>
      </c>
      <c r="B7" s="17">
        <v>45649</v>
      </c>
      <c r="C7" s="18">
        <v>58</v>
      </c>
      <c r="D7" s="18">
        <f>36*2</f>
        <v>72</v>
      </c>
      <c r="E7" s="18">
        <f>33*3</f>
        <v>99</v>
      </c>
      <c r="F7" s="24">
        <f t="shared" ref="F7:F12" si="3">+C7+7</f>
        <v>65</v>
      </c>
      <c r="G7" s="18">
        <f>+D7+14</f>
        <v>86</v>
      </c>
      <c r="H7" s="19">
        <f>+E7+21</f>
        <v>120</v>
      </c>
      <c r="I7">
        <f t="shared" ref="I7:I12" si="4">+(D7/2)*2.5</f>
        <v>90</v>
      </c>
      <c r="J7">
        <f t="shared" ref="J7:J12" si="5">+(D7/2)*1.5</f>
        <v>54</v>
      </c>
    </row>
    <row r="8" spans="1:10" ht="13.8">
      <c r="A8" s="17">
        <v>45650</v>
      </c>
      <c r="B8" s="17">
        <v>45667</v>
      </c>
      <c r="C8" s="18">
        <v>82</v>
      </c>
      <c r="D8" s="18">
        <f>51*2</f>
        <v>102</v>
      </c>
      <c r="E8" s="18">
        <f>48*3</f>
        <v>144</v>
      </c>
      <c r="F8" s="18">
        <f t="shared" si="3"/>
        <v>89</v>
      </c>
      <c r="G8" s="18">
        <f t="shared" ref="G8:G12" si="6">+D8+14</f>
        <v>116</v>
      </c>
      <c r="H8" s="19">
        <f t="shared" ref="H8:H12" si="7">+E8+21</f>
        <v>165</v>
      </c>
      <c r="I8">
        <f t="shared" si="4"/>
        <v>127.5</v>
      </c>
      <c r="J8">
        <f t="shared" si="5"/>
        <v>76.5</v>
      </c>
    </row>
    <row r="9" spans="1:10" ht="13.8">
      <c r="A9" s="17">
        <v>45668</v>
      </c>
      <c r="B9" s="17">
        <v>45716</v>
      </c>
      <c r="C9" s="18">
        <v>50</v>
      </c>
      <c r="D9" s="18">
        <f>31*2</f>
        <v>62</v>
      </c>
      <c r="E9" s="18">
        <f>28*3</f>
        <v>84</v>
      </c>
      <c r="F9" s="18">
        <f t="shared" si="3"/>
        <v>57</v>
      </c>
      <c r="G9" s="18">
        <f t="shared" si="6"/>
        <v>76</v>
      </c>
      <c r="H9" s="19">
        <f t="shared" si="7"/>
        <v>105</v>
      </c>
      <c r="I9">
        <f t="shared" si="4"/>
        <v>77.5</v>
      </c>
      <c r="J9">
        <f t="shared" si="5"/>
        <v>46.5</v>
      </c>
    </row>
    <row r="10" spans="1:10" ht="13.8">
      <c r="A10" s="17">
        <v>45717</v>
      </c>
      <c r="B10" s="17">
        <v>45739</v>
      </c>
      <c r="C10" s="18">
        <v>58</v>
      </c>
      <c r="D10" s="18">
        <f>36*2</f>
        <v>72</v>
      </c>
      <c r="E10" s="18">
        <v>99</v>
      </c>
      <c r="F10" s="18">
        <f t="shared" si="3"/>
        <v>65</v>
      </c>
      <c r="G10" s="18">
        <f t="shared" si="6"/>
        <v>86</v>
      </c>
      <c r="H10" s="19">
        <f t="shared" si="7"/>
        <v>120</v>
      </c>
      <c r="I10">
        <f t="shared" si="4"/>
        <v>90</v>
      </c>
      <c r="J10">
        <f t="shared" si="5"/>
        <v>54</v>
      </c>
    </row>
    <row r="11" spans="1:10" ht="13.8">
      <c r="A11" s="17">
        <v>45740</v>
      </c>
      <c r="B11" s="17">
        <v>45755</v>
      </c>
      <c r="C11" s="18">
        <v>62</v>
      </c>
      <c r="D11" s="18">
        <f>39*2</f>
        <v>78</v>
      </c>
      <c r="E11" s="18">
        <f>36*3</f>
        <v>108</v>
      </c>
      <c r="F11" s="18">
        <f t="shared" si="3"/>
        <v>69</v>
      </c>
      <c r="G11" s="18">
        <f t="shared" si="6"/>
        <v>92</v>
      </c>
      <c r="H11" s="19">
        <f t="shared" si="7"/>
        <v>129</v>
      </c>
      <c r="I11">
        <f t="shared" si="4"/>
        <v>97.5</v>
      </c>
      <c r="J11">
        <f t="shared" si="5"/>
        <v>58.5</v>
      </c>
    </row>
    <row r="12" spans="1:10" ht="13.8">
      <c r="A12" s="17">
        <v>45756</v>
      </c>
      <c r="B12" s="17">
        <v>45777</v>
      </c>
      <c r="C12" s="18">
        <v>74</v>
      </c>
      <c r="D12" s="18">
        <f>43*2</f>
        <v>86</v>
      </c>
      <c r="E12" s="18">
        <f>43*3</f>
        <v>129</v>
      </c>
      <c r="F12" s="18">
        <f t="shared" si="3"/>
        <v>81</v>
      </c>
      <c r="G12" s="18">
        <f t="shared" si="6"/>
        <v>100</v>
      </c>
      <c r="H12" s="19">
        <f t="shared" si="7"/>
        <v>150</v>
      </c>
      <c r="I12">
        <f t="shared" si="4"/>
        <v>107.5</v>
      </c>
      <c r="J12">
        <f t="shared" si="5"/>
        <v>64.5</v>
      </c>
    </row>
    <row r="15" spans="1:10">
      <c r="J15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2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2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A4" sqref="A4:XFD4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45577</v>
      </c>
      <c r="B2" s="7">
        <v>45596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f>+E2+21</f>
        <v>123</v>
      </c>
      <c r="I2">
        <f>+D2/2*2.5</f>
        <v>92.5</v>
      </c>
      <c r="J2">
        <f>+(D2/2)*1.5</f>
        <v>55.5</v>
      </c>
    </row>
    <row r="3" spans="1:10" ht="13.8">
      <c r="A3" s="7">
        <v>45597</v>
      </c>
      <c r="B3" s="7">
        <v>45611</v>
      </c>
      <c r="C3" s="4">
        <v>61</v>
      </c>
      <c r="D3" s="4">
        <v>76</v>
      </c>
      <c r="E3" s="4">
        <v>105</v>
      </c>
      <c r="F3" s="5">
        <f>+C3+7</f>
        <v>68</v>
      </c>
      <c r="G3" s="6">
        <f t="shared" ref="G3:G5" si="0">+D3+14</f>
        <v>90</v>
      </c>
      <c r="H3" s="8">
        <f>+E3+21</f>
        <v>126</v>
      </c>
      <c r="I3">
        <f t="shared" ref="I3:I5" si="1">+D3/2*2.5</f>
        <v>95</v>
      </c>
      <c r="J3">
        <f>+(D3/2)*1.5</f>
        <v>57</v>
      </c>
    </row>
    <row r="4" spans="1:10" ht="13.8">
      <c r="A4" s="7">
        <v>45612</v>
      </c>
      <c r="B4" s="7">
        <v>45649</v>
      </c>
      <c r="C4" s="18">
        <v>58</v>
      </c>
      <c r="D4" s="18">
        <f>36*2</f>
        <v>72</v>
      </c>
      <c r="E4" s="18">
        <f>33*3</f>
        <v>99</v>
      </c>
      <c r="F4" s="5">
        <f t="shared" ref="F4" si="2">+C4+7</f>
        <v>65</v>
      </c>
      <c r="G4" s="6">
        <f t="shared" ref="G4" si="3">+D4+14</f>
        <v>86</v>
      </c>
      <c r="H4" s="8">
        <f>+E4+21</f>
        <v>120</v>
      </c>
      <c r="I4">
        <f t="shared" ref="I4" si="4">+D4/2*2.5</f>
        <v>90</v>
      </c>
      <c r="J4">
        <f>+(D4/2)*1.5</f>
        <v>54</v>
      </c>
    </row>
    <row r="5" spans="1:10" ht="13.8">
      <c r="A5" s="7">
        <v>45650</v>
      </c>
      <c r="B5" s="7">
        <v>45667</v>
      </c>
      <c r="C5" s="4">
        <v>69</v>
      </c>
      <c r="D5" s="4">
        <v>86</v>
      </c>
      <c r="E5" s="4">
        <v>120</v>
      </c>
      <c r="F5" s="5">
        <f t="shared" ref="F5" si="5">+C5+7</f>
        <v>76</v>
      </c>
      <c r="G5" s="6">
        <f t="shared" si="0"/>
        <v>100</v>
      </c>
      <c r="H5" s="8">
        <f>+E5+21</f>
        <v>141</v>
      </c>
      <c r="I5">
        <f t="shared" si="1"/>
        <v>107.5</v>
      </c>
      <c r="J5">
        <f>+(D5/2)*1.5</f>
        <v>64.5</v>
      </c>
    </row>
    <row r="8" spans="1:10">
      <c r="J8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3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3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selection activeCell="A5" sqref="A5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45612</v>
      </c>
      <c r="B2" s="7">
        <v>45622</v>
      </c>
      <c r="C2" s="18">
        <v>58</v>
      </c>
      <c r="D2" s="18">
        <f>36*2</f>
        <v>72</v>
      </c>
      <c r="E2" s="18">
        <f>33*3</f>
        <v>99</v>
      </c>
      <c r="F2" s="24">
        <f t="shared" ref="F2" si="0">+C2+7</f>
        <v>65</v>
      </c>
      <c r="G2" s="18">
        <f>+D2+14</f>
        <v>86</v>
      </c>
      <c r="H2" s="19">
        <f>+E2+21</f>
        <v>120</v>
      </c>
      <c r="I2">
        <f>+(G2/2)*2.5</f>
        <v>107.5</v>
      </c>
      <c r="J2">
        <f t="shared" ref="J2" si="1">+(D2/2)*1.5</f>
        <v>54</v>
      </c>
    </row>
    <row r="3" spans="1:10" ht="13.8">
      <c r="A3" s="7">
        <v>45623</v>
      </c>
      <c r="B3" s="7">
        <v>45649</v>
      </c>
      <c r="C3" s="4">
        <v>48</v>
      </c>
      <c r="D3" s="4">
        <v>60</v>
      </c>
      <c r="E3" s="4">
        <v>81</v>
      </c>
      <c r="F3" s="5">
        <f>+C3+7</f>
        <v>55</v>
      </c>
      <c r="G3" s="18">
        <f t="shared" ref="G3:G7" si="2">+D3+14</f>
        <v>74</v>
      </c>
      <c r="H3" s="19">
        <f t="shared" ref="H3:H7" si="3">+E3+21</f>
        <v>102</v>
      </c>
      <c r="I3">
        <f t="shared" ref="I3:I7" si="4">+(G3/2)*2.5</f>
        <v>92.5</v>
      </c>
      <c r="J3">
        <f t="shared" ref="J3:J7" si="5">+(D3/2)*1.5</f>
        <v>45</v>
      </c>
    </row>
    <row r="4" spans="1:10" ht="13.8">
      <c r="A4" s="7">
        <v>45650</v>
      </c>
      <c r="B4" s="7">
        <v>45656</v>
      </c>
      <c r="C4" s="4">
        <v>61</v>
      </c>
      <c r="D4" s="4">
        <v>76</v>
      </c>
      <c r="E4" s="4">
        <v>105</v>
      </c>
      <c r="F4" s="5">
        <f t="shared" ref="F4:F7" si="6">+C4+7</f>
        <v>68</v>
      </c>
      <c r="G4" s="18">
        <f t="shared" si="2"/>
        <v>90</v>
      </c>
      <c r="H4" s="19">
        <f t="shared" si="3"/>
        <v>126</v>
      </c>
      <c r="I4">
        <f t="shared" si="4"/>
        <v>112.5</v>
      </c>
      <c r="J4">
        <f t="shared" si="5"/>
        <v>57</v>
      </c>
    </row>
    <row r="5" spans="1:10" ht="13.8">
      <c r="A5" s="7">
        <v>45657</v>
      </c>
      <c r="B5" s="7">
        <v>45657</v>
      </c>
      <c r="C5" s="4">
        <v>81</v>
      </c>
      <c r="D5" s="4">
        <f>76+40</f>
        <v>116</v>
      </c>
      <c r="E5" s="4">
        <f>105+60</f>
        <v>165</v>
      </c>
      <c r="F5" s="5">
        <f t="shared" si="6"/>
        <v>88</v>
      </c>
      <c r="G5" s="18">
        <f t="shared" si="2"/>
        <v>130</v>
      </c>
      <c r="H5" s="19">
        <f t="shared" si="3"/>
        <v>186</v>
      </c>
      <c r="I5">
        <f t="shared" si="4"/>
        <v>162.5</v>
      </c>
      <c r="J5">
        <f t="shared" si="5"/>
        <v>87</v>
      </c>
    </row>
    <row r="6" spans="1:10" ht="13.8">
      <c r="A6" s="7">
        <v>45658</v>
      </c>
      <c r="B6" s="7">
        <v>45667</v>
      </c>
      <c r="C6" s="4">
        <v>61</v>
      </c>
      <c r="D6" s="4">
        <v>76</v>
      </c>
      <c r="E6" s="4">
        <v>105</v>
      </c>
      <c r="F6" s="5">
        <f t="shared" si="6"/>
        <v>68</v>
      </c>
      <c r="G6" s="18">
        <f t="shared" si="2"/>
        <v>90</v>
      </c>
      <c r="H6" s="19">
        <f t="shared" si="3"/>
        <v>126</v>
      </c>
      <c r="I6">
        <f t="shared" si="4"/>
        <v>112.5</v>
      </c>
      <c r="J6">
        <f t="shared" si="5"/>
        <v>57</v>
      </c>
    </row>
    <row r="7" spans="1:10" ht="13.8">
      <c r="A7" s="7">
        <v>45668</v>
      </c>
      <c r="B7" s="7">
        <v>45716</v>
      </c>
      <c r="C7" s="4">
        <v>45</v>
      </c>
      <c r="D7" s="4">
        <v>56</v>
      </c>
      <c r="E7" s="4">
        <v>75</v>
      </c>
      <c r="F7" s="5">
        <f t="shared" si="6"/>
        <v>52</v>
      </c>
      <c r="G7" s="18">
        <f t="shared" si="2"/>
        <v>70</v>
      </c>
      <c r="H7" s="19">
        <f t="shared" si="3"/>
        <v>96</v>
      </c>
      <c r="I7">
        <f t="shared" si="4"/>
        <v>87.5</v>
      </c>
      <c r="J7">
        <f t="shared" si="5"/>
        <v>42</v>
      </c>
    </row>
    <row r="9" spans="1:10">
      <c r="J9" s="23"/>
    </row>
    <row r="17" spans="9:9">
      <c r="I17" s="27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4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4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statment</vt:lpstr>
      <vt:lpstr>contract</vt:lpstr>
      <vt:lpstr>spo from 14.07 to 11.10</vt:lpstr>
      <vt:lpstr>spo from 12.10 to 15.11</vt:lpstr>
      <vt:lpstr>spo from 16.11 to 28.02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2025-01-23T14:16:00Z</dcterms:modified>
</cp:coreProperties>
</file>