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tels\Hotels Invoices\Siva Golden Bay\Invo Nabilla\2026\May 2026\"/>
    </mc:Choice>
  </mc:AlternateContent>
  <xr:revisionPtr revIDLastSave="0" documentId="13_ncr:1_{A4124260-2FBA-479E-AF5A-FE7FFDF57F8B}" xr6:coauthVersionLast="47" xr6:coauthVersionMax="47" xr10:uidLastSave="{00000000-0000-0000-0000-000000000000}"/>
  <bookViews>
    <workbookView xWindow="-120" yWindow="-120" windowWidth="24240" windowHeight="17640" tabRatio="722" xr2:uid="{00000000-000D-0000-FFFF-FFFF00000000}"/>
  </bookViews>
  <sheets>
    <sheet name="statment" sheetId="6" r:id="rId1"/>
    <sheet name="contract" sheetId="40" r:id="rId2"/>
    <sheet name="S.P.O from 15.04 to 29.04" sheetId="43" r:id="rId3"/>
    <sheet name="S.P.O from 30.04 to 24.05" sheetId="41" r:id="rId4"/>
    <sheet name="S.P.O from 25.05 to 31.08" sheetId="42" r:id="rId5"/>
  </sheets>
  <externalReferences>
    <externalReference r:id="rId6"/>
    <externalReference r:id="rId7"/>
  </externalReferences>
  <definedNames>
    <definedName name="_xlnm._FilterDatabase" localSheetId="0" hidden="1">statment!$B$1:$J$15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6" l="1"/>
  <c r="J15" i="6" s="1"/>
  <c r="H14" i="6"/>
  <c r="J14" i="6" s="1"/>
  <c r="H13" i="6"/>
  <c r="J13" i="6" s="1"/>
  <c r="H12" i="6"/>
  <c r="J12" i="6" s="1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I2" i="6"/>
  <c r="H2" i="6"/>
  <c r="J2" i="6" l="1"/>
  <c r="E4" i="43" l="1"/>
  <c r="E3" i="43"/>
  <c r="G3" i="43" s="1"/>
  <c r="Q9" i="43"/>
  <c r="N9" i="43"/>
  <c r="M9" i="43"/>
  <c r="I9" i="43"/>
  <c r="K9" i="43" s="1"/>
  <c r="H9" i="43"/>
  <c r="O9" i="43" s="1"/>
  <c r="G9" i="43"/>
  <c r="P9" i="43" s="1"/>
  <c r="Q8" i="43"/>
  <c r="N8" i="43"/>
  <c r="M8" i="43"/>
  <c r="J8" i="43"/>
  <c r="I8" i="43"/>
  <c r="K8" i="43" s="1"/>
  <c r="H8" i="43"/>
  <c r="G8" i="43"/>
  <c r="P8" i="43" s="1"/>
  <c r="Q7" i="43"/>
  <c r="N7" i="43"/>
  <c r="I7" i="43"/>
  <c r="K7" i="43" s="1"/>
  <c r="H7" i="43"/>
  <c r="O7" i="43" s="1"/>
  <c r="G7" i="43"/>
  <c r="P7" i="43" s="1"/>
  <c r="F7" i="43"/>
  <c r="M7" i="43" s="1"/>
  <c r="Q6" i="43"/>
  <c r="N6" i="43"/>
  <c r="M6" i="43"/>
  <c r="I6" i="43"/>
  <c r="K6" i="43" s="1"/>
  <c r="H6" i="43"/>
  <c r="O6" i="43" s="1"/>
  <c r="G6" i="43"/>
  <c r="J6" i="43" s="1"/>
  <c r="F6" i="43"/>
  <c r="H5" i="43"/>
  <c r="G5" i="43"/>
  <c r="P5" i="43" s="1"/>
  <c r="F5" i="43"/>
  <c r="N5" i="43" s="1"/>
  <c r="H4" i="43"/>
  <c r="F4" i="43"/>
  <c r="Q4" i="43" s="1"/>
  <c r="G4" i="43"/>
  <c r="N3" i="43"/>
  <c r="I3" i="43"/>
  <c r="K3" i="43" s="1"/>
  <c r="H3" i="43"/>
  <c r="F3" i="43"/>
  <c r="Q3" i="43" s="1"/>
  <c r="N2" i="43"/>
  <c r="I2" i="43"/>
  <c r="K2" i="43" s="1"/>
  <c r="H2" i="43"/>
  <c r="F2" i="43"/>
  <c r="Q2" i="43" s="1"/>
  <c r="E4" i="42"/>
  <c r="E3" i="42"/>
  <c r="G3" i="42" s="1"/>
  <c r="P3" i="42" s="1"/>
  <c r="D3" i="42"/>
  <c r="F3" i="42" s="1"/>
  <c r="Q6" i="42"/>
  <c r="N6" i="42"/>
  <c r="M6" i="42"/>
  <c r="I6" i="42"/>
  <c r="K6" i="42" s="1"/>
  <c r="H6" i="42"/>
  <c r="O6" i="42" s="1"/>
  <c r="G6" i="42"/>
  <c r="P6" i="42" s="1"/>
  <c r="Q5" i="42"/>
  <c r="N5" i="42"/>
  <c r="M5" i="42"/>
  <c r="I5" i="42"/>
  <c r="K5" i="42" s="1"/>
  <c r="H5" i="42"/>
  <c r="O5" i="42" s="1"/>
  <c r="G5" i="42"/>
  <c r="J5" i="42" s="1"/>
  <c r="I4" i="42"/>
  <c r="K4" i="42" s="1"/>
  <c r="H4" i="42"/>
  <c r="O4" i="42" s="1"/>
  <c r="G4" i="42"/>
  <c r="P4" i="42" s="1"/>
  <c r="F4" i="42"/>
  <c r="N4" i="42" s="1"/>
  <c r="H3" i="42"/>
  <c r="H2" i="42"/>
  <c r="G2" i="42"/>
  <c r="J2" i="42" s="1"/>
  <c r="F2" i="42"/>
  <c r="N2" i="42" s="1"/>
  <c r="E4" i="41"/>
  <c r="E3" i="41"/>
  <c r="Q4" i="42" l="1"/>
  <c r="O8" i="43"/>
  <c r="N4" i="43"/>
  <c r="J5" i="43"/>
  <c r="I4" i="43"/>
  <c r="K4" i="43" s="1"/>
  <c r="P4" i="43"/>
  <c r="J4" i="43"/>
  <c r="P3" i="43"/>
  <c r="J3" i="43"/>
  <c r="J2" i="43"/>
  <c r="O2" i="43"/>
  <c r="O3" i="43"/>
  <c r="O4" i="43"/>
  <c r="P6" i="43"/>
  <c r="G2" i="43"/>
  <c r="P2" i="43" s="1"/>
  <c r="M5" i="43"/>
  <c r="Q5" i="43"/>
  <c r="J7" i="43"/>
  <c r="J9" i="43"/>
  <c r="M2" i="43"/>
  <c r="M3" i="43"/>
  <c r="M4" i="43"/>
  <c r="I5" i="43"/>
  <c r="M4" i="42"/>
  <c r="N3" i="42"/>
  <c r="Q3" i="42"/>
  <c r="M3" i="42"/>
  <c r="M2" i="42"/>
  <c r="Q2" i="42"/>
  <c r="I3" i="42"/>
  <c r="K3" i="42" s="1"/>
  <c r="J4" i="42"/>
  <c r="J6" i="42"/>
  <c r="P5" i="42"/>
  <c r="I2" i="42"/>
  <c r="J3" i="42"/>
  <c r="P2" i="42"/>
  <c r="Q9" i="41"/>
  <c r="N9" i="41"/>
  <c r="M9" i="41"/>
  <c r="I9" i="41"/>
  <c r="K9" i="41" s="1"/>
  <c r="H9" i="41"/>
  <c r="G9" i="41"/>
  <c r="P9" i="41" s="1"/>
  <c r="Q8" i="41"/>
  <c r="N8" i="41"/>
  <c r="M8" i="41"/>
  <c r="I8" i="41"/>
  <c r="K8" i="41" s="1"/>
  <c r="H8" i="41"/>
  <c r="G8" i="41"/>
  <c r="J8" i="41" s="1"/>
  <c r="J7" i="41"/>
  <c r="H7" i="41"/>
  <c r="G7" i="41"/>
  <c r="P7" i="41" s="1"/>
  <c r="F7" i="41"/>
  <c r="Q7" i="41" s="1"/>
  <c r="I6" i="41"/>
  <c r="K6" i="41" s="1"/>
  <c r="H6" i="41"/>
  <c r="G6" i="41"/>
  <c r="P6" i="41" s="1"/>
  <c r="F6" i="41"/>
  <c r="Q6" i="41" s="1"/>
  <c r="H5" i="41"/>
  <c r="G5" i="41"/>
  <c r="J5" i="41" s="1"/>
  <c r="F5" i="41"/>
  <c r="N5" i="41" s="1"/>
  <c r="H4" i="41"/>
  <c r="G4" i="41"/>
  <c r="P4" i="41" s="1"/>
  <c r="F4" i="41"/>
  <c r="N4" i="41" s="1"/>
  <c r="H3" i="41"/>
  <c r="G3" i="41"/>
  <c r="P3" i="41" s="1"/>
  <c r="F3" i="41"/>
  <c r="Q3" i="41" s="1"/>
  <c r="I2" i="41"/>
  <c r="K2" i="41" s="1"/>
  <c r="H2" i="41"/>
  <c r="O2" i="41" s="1"/>
  <c r="F2" i="41"/>
  <c r="J2" i="41" s="1"/>
  <c r="J5" i="40"/>
  <c r="J6" i="40"/>
  <c r="J7" i="40"/>
  <c r="J8" i="40"/>
  <c r="J9" i="40"/>
  <c r="J10" i="40"/>
  <c r="J4" i="40"/>
  <c r="G5" i="40"/>
  <c r="G6" i="40"/>
  <c r="G7" i="40"/>
  <c r="G8" i="40"/>
  <c r="G9" i="40"/>
  <c r="G10" i="40"/>
  <c r="G4" i="40"/>
  <c r="F8" i="40"/>
  <c r="F7" i="40"/>
  <c r="F6" i="40"/>
  <c r="F5" i="40"/>
  <c r="F4" i="40"/>
  <c r="H3" i="40"/>
  <c r="F3" i="40"/>
  <c r="Q3" i="40" s="1"/>
  <c r="F2" i="40"/>
  <c r="J2" i="40" s="1"/>
  <c r="N2" i="41" l="1"/>
  <c r="G2" i="41"/>
  <c r="P2" i="41" s="1"/>
  <c r="Q2" i="41"/>
  <c r="J3" i="41"/>
  <c r="J9" i="41"/>
  <c r="K5" i="43"/>
  <c r="O5" i="43"/>
  <c r="O2" i="42"/>
  <c r="K2" i="42"/>
  <c r="O3" i="42"/>
  <c r="I3" i="41"/>
  <c r="K3" i="41" s="1"/>
  <c r="Q5" i="41"/>
  <c r="M6" i="41"/>
  <c r="N7" i="41"/>
  <c r="N6" i="41"/>
  <c r="M2" i="41"/>
  <c r="N3" i="41"/>
  <c r="J4" i="41"/>
  <c r="M5" i="41"/>
  <c r="O6" i="41"/>
  <c r="I7" i="41"/>
  <c r="K7" i="41" s="1"/>
  <c r="O8" i="41"/>
  <c r="P8" i="41"/>
  <c r="O3" i="41"/>
  <c r="O9" i="41"/>
  <c r="M4" i="41"/>
  <c r="Q4" i="41"/>
  <c r="I5" i="41"/>
  <c r="K5" i="41" s="1"/>
  <c r="J6" i="41"/>
  <c r="P5" i="41"/>
  <c r="M3" i="41"/>
  <c r="I4" i="41"/>
  <c r="M7" i="41"/>
  <c r="I2" i="40"/>
  <c r="K2" i="40" s="1"/>
  <c r="C2" i="40"/>
  <c r="Q2" i="40" s="1"/>
  <c r="N2" i="40"/>
  <c r="G2" i="40"/>
  <c r="P2" i="40" s="1"/>
  <c r="M2" i="40"/>
  <c r="I3" i="40"/>
  <c r="K3" i="40" s="1"/>
  <c r="N3" i="40"/>
  <c r="J3" i="40"/>
  <c r="G3" i="40"/>
  <c r="P3" i="40" s="1"/>
  <c r="M3" i="40"/>
  <c r="O5" i="41" l="1"/>
  <c r="O7" i="41"/>
  <c r="K4" i="41"/>
  <c r="O4" i="41"/>
  <c r="H2" i="40"/>
  <c r="O2" i="40" s="1"/>
  <c r="O3" i="40"/>
  <c r="H6" i="40"/>
  <c r="P6" i="40"/>
  <c r="N6" i="40"/>
  <c r="Q6" i="40" l="1"/>
  <c r="M6" i="40"/>
  <c r="I6" i="40"/>
  <c r="K6" i="40" s="1"/>
  <c r="O6" i="40" l="1"/>
  <c r="I10" i="40"/>
  <c r="K10" i="40" s="1"/>
  <c r="P8" i="40"/>
  <c r="I7" i="40"/>
  <c r="K7" i="40" s="1"/>
  <c r="M7" i="40"/>
  <c r="H7" i="40"/>
  <c r="M5" i="40"/>
  <c r="I5" i="40"/>
  <c r="H5" i="40"/>
  <c r="P7" i="40" l="1"/>
  <c r="K5" i="40"/>
  <c r="P9" i="40"/>
  <c r="N9" i="40"/>
  <c r="O5" i="40"/>
  <c r="O7" i="40"/>
  <c r="Q10" i="40"/>
  <c r="N10" i="40"/>
  <c r="P4" i="40"/>
  <c r="Q4" i="40"/>
  <c r="N4" i="40"/>
  <c r="Q5" i="40"/>
  <c r="N5" i="40"/>
  <c r="Q7" i="40"/>
  <c r="N7" i="40"/>
  <c r="M8" i="40"/>
  <c r="Q8" i="40"/>
  <c r="N8" i="40"/>
  <c r="H10" i="40"/>
  <c r="O10" i="40" s="1"/>
  <c r="M10" i="40"/>
  <c r="H4" i="40"/>
  <c r="I9" i="40"/>
  <c r="K9" i="40" s="1"/>
  <c r="M4" i="40"/>
  <c r="P5" i="40"/>
  <c r="H8" i="40"/>
  <c r="I8" i="40"/>
  <c r="K8" i="40" s="1"/>
  <c r="M9" i="40"/>
  <c r="P10" i="40"/>
  <c r="I4" i="40"/>
  <c r="K4" i="40" s="1"/>
  <c r="O4" i="40" l="1"/>
  <c r="H9" i="40"/>
  <c r="O9" i="40" s="1"/>
  <c r="Q9" i="40"/>
  <c r="O8" i="40"/>
</calcChain>
</file>

<file path=xl/sharedStrings.xml><?xml version="1.0" encoding="utf-8"?>
<sst xmlns="http://schemas.openxmlformats.org/spreadsheetml/2006/main" count="100" uniqueCount="31">
  <si>
    <t>Night</t>
  </si>
  <si>
    <t>Arrival</t>
  </si>
  <si>
    <t>Departure</t>
  </si>
  <si>
    <t>Rate code</t>
  </si>
  <si>
    <t>Amount-hotel</t>
  </si>
  <si>
    <t>first date</t>
  </si>
  <si>
    <t>second date</t>
  </si>
  <si>
    <t>Rate $</t>
  </si>
  <si>
    <t>Booking No.</t>
  </si>
  <si>
    <t>Invoice No.</t>
  </si>
  <si>
    <t>SGL-CH</t>
  </si>
  <si>
    <t xml:space="preserve">TPL-BUNG </t>
  </si>
  <si>
    <t xml:space="preserve">DBL-DEX </t>
  </si>
  <si>
    <t>TPL-DEX</t>
  </si>
  <si>
    <t>SGL-DEX</t>
  </si>
  <si>
    <t xml:space="preserve">DBL-BUNG </t>
  </si>
  <si>
    <t>SGL-BUNG</t>
  </si>
  <si>
    <t xml:space="preserve">SGL-J SUIT BAY </t>
  </si>
  <si>
    <t xml:space="preserve">DBL-J SUIT BAY </t>
  </si>
  <si>
    <t>Res_date</t>
  </si>
  <si>
    <t>SGL-DEX(CH)</t>
  </si>
  <si>
    <t>SGL-BUNG (CH)</t>
  </si>
  <si>
    <t>TPL-J SUIT BAY</t>
  </si>
  <si>
    <t xml:space="preserve">DBL-BUNG(CH) </t>
  </si>
  <si>
    <t>d</t>
  </si>
  <si>
    <t>tpl</t>
  </si>
  <si>
    <t>94-112</t>
  </si>
  <si>
    <t>94-80</t>
  </si>
  <si>
    <t>64-56</t>
  </si>
  <si>
    <t>80-70</t>
  </si>
  <si>
    <t>90-80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</si>
</sst>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_-* #,##0.00\-;_-* &quot;-&quot;??_-;_-@_-"/>
    <numFmt numFmtId="165" formatCode="dd/mm/yyyy;@"/>
  </numFmts>
  <fonts count="11">
    <font>
      <sz val="10"/>
      <name val="Arial"/>
      <charset val="178"/>
    </font>
    <font>
      <sz val="10"/>
      <name val="Arial"/>
      <family val="2"/>
    </font>
    <font>
      <sz val="8"/>
      <color indexed="8"/>
      <name val="MS Sans Serif"/>
      <family val="2"/>
      <charset val="178"/>
    </font>
    <font>
      <b/>
      <sz val="14"/>
      <color indexed="18"/>
      <name val="Times New Roman"/>
      <family val="1"/>
    </font>
    <font>
      <sz val="10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2"/>
      <color indexed="8"/>
      <name val="Times New Roman"/>
      <family val="1"/>
    </font>
    <font>
      <sz val="14"/>
      <color rgb="FFFF0000"/>
      <name val="Times New Roman"/>
      <family val="1"/>
    </font>
    <font>
      <b/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/>
    <xf numFmtId="0" fontId="7" fillId="5" borderId="3" xfId="0" applyFont="1" applyFill="1" applyBorder="1" applyAlignment="1">
      <alignment horizontal="center"/>
    </xf>
    <xf numFmtId="14" fontId="7" fillId="0" borderId="4" xfId="0" applyNumberFormat="1" applyFont="1" applyBorder="1"/>
    <xf numFmtId="0" fontId="7" fillId="3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8" fillId="4" borderId="7" xfId="0" applyNumberFormat="1" applyFont="1" applyFill="1" applyBorder="1" applyAlignment="1">
      <alignment horizontal="center"/>
    </xf>
    <xf numFmtId="14" fontId="0" fillId="0" borderId="0" xfId="0" applyNumberFormat="1"/>
    <xf numFmtId="165" fontId="5" fillId="4" borderId="2" xfId="0" applyNumberFormat="1" applyFont="1" applyFill="1" applyBorder="1" applyAlignment="1">
      <alignment horizontal="center"/>
    </xf>
    <xf numFmtId="0" fontId="0" fillId="6" borderId="0" xfId="0" applyFill="1"/>
    <xf numFmtId="0" fontId="9" fillId="2" borderId="1" xfId="0" applyFont="1" applyFill="1" applyBorder="1" applyAlignment="1">
      <alignment horizontal="center" vertical="center"/>
    </xf>
    <xf numFmtId="0" fontId="0" fillId="7" borderId="0" xfId="0" applyFill="1"/>
    <xf numFmtId="0" fontId="8" fillId="4" borderId="3" xfId="0" applyFont="1" applyFill="1" applyBorder="1" applyAlignment="1">
      <alignment horizontal="center"/>
    </xf>
    <xf numFmtId="165" fontId="5" fillId="4" borderId="8" xfId="0" applyNumberFormat="1" applyFont="1" applyFill="1" applyBorder="1" applyAlignment="1">
      <alignment horizontal="center"/>
    </xf>
    <xf numFmtId="3" fontId="8" fillId="0" borderId="8" xfId="1" applyNumberFormat="1" applyFont="1" applyFill="1" applyBorder="1" applyAlignment="1">
      <alignment horizontal="center"/>
    </xf>
    <xf numFmtId="164" fontId="8" fillId="0" borderId="3" xfId="1" applyFont="1" applyFill="1" applyBorder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0" fillId="0" borderId="9" xfId="0" applyBorder="1"/>
    <xf numFmtId="0" fontId="7" fillId="3" borderId="9" xfId="0" applyFont="1" applyFill="1" applyBorder="1" applyAlignment="1">
      <alignment horizontal="center"/>
    </xf>
    <xf numFmtId="0" fontId="0" fillId="0" borderId="10" xfId="0" applyBorder="1"/>
    <xf numFmtId="0" fontId="7" fillId="3" borderId="10" xfId="0" applyFont="1" applyFill="1" applyBorder="1" applyAlignment="1">
      <alignment horizontal="center"/>
    </xf>
    <xf numFmtId="0" fontId="0" fillId="0" borderId="11" xfId="0" applyBorder="1"/>
    <xf numFmtId="0" fontId="7" fillId="3" borderId="11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" fontId="8" fillId="4" borderId="8" xfId="0" applyNumberFormat="1" applyFont="1" applyFill="1" applyBorder="1" applyAlignment="1">
      <alignment horizontal="center"/>
    </xf>
    <xf numFmtId="165" fontId="10" fillId="2" borderId="8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/>
    </xf>
  </cellXfs>
  <cellStyles count="44">
    <cellStyle name="Comma" xfId="1" builtinId="3"/>
    <cellStyle name="Normal" xfId="0" builtinId="0"/>
    <cellStyle name="Normal 10 2" xfId="2" xr:uid="{00000000-0005-0000-0000-000002000000}"/>
    <cellStyle name="Normal 10 3" xfId="3" xr:uid="{00000000-0005-0000-0000-000003000000}"/>
    <cellStyle name="Normal 10 4" xfId="4" xr:uid="{00000000-0005-0000-0000-000004000000}"/>
    <cellStyle name="Normal 140" xfId="5" xr:uid="{00000000-0005-0000-0000-000005000000}"/>
    <cellStyle name="Normal 148" xfId="6" xr:uid="{00000000-0005-0000-0000-000006000000}"/>
    <cellStyle name="Normal 149" xfId="7" xr:uid="{00000000-0005-0000-0000-000007000000}"/>
    <cellStyle name="Normal 151" xfId="8" xr:uid="{00000000-0005-0000-0000-000008000000}"/>
    <cellStyle name="Normal 152" xfId="40" xr:uid="{00000000-0005-0000-0000-000009000000}"/>
    <cellStyle name="Normal 153" xfId="9" xr:uid="{00000000-0005-0000-0000-00000A000000}"/>
    <cellStyle name="Normal 154" xfId="10" xr:uid="{00000000-0005-0000-0000-00000B000000}"/>
    <cellStyle name="Normal 157" xfId="38" xr:uid="{00000000-0005-0000-0000-00000C000000}"/>
    <cellStyle name="Normal 158" xfId="39" xr:uid="{00000000-0005-0000-0000-00000D000000}"/>
    <cellStyle name="Normal 159" xfId="11" xr:uid="{00000000-0005-0000-0000-00000E000000}"/>
    <cellStyle name="Normal 160" xfId="12" xr:uid="{00000000-0005-0000-0000-00000F000000}"/>
    <cellStyle name="Normal 162" xfId="13" xr:uid="{00000000-0005-0000-0000-000010000000}"/>
    <cellStyle name="Normal 163" xfId="14" xr:uid="{00000000-0005-0000-0000-000011000000}"/>
    <cellStyle name="Normal 165" xfId="15" xr:uid="{00000000-0005-0000-0000-000012000000}"/>
    <cellStyle name="Normal 166" xfId="16" xr:uid="{00000000-0005-0000-0000-000013000000}"/>
    <cellStyle name="Normal 19 2" xfId="17" xr:uid="{00000000-0005-0000-0000-000014000000}"/>
    <cellStyle name="Normal 19 3" xfId="18" xr:uid="{00000000-0005-0000-0000-000015000000}"/>
    <cellStyle name="Normal 19 4" xfId="19" xr:uid="{00000000-0005-0000-0000-000016000000}"/>
    <cellStyle name="Normal 2" xfId="43" xr:uid="{00000000-0005-0000-0000-000017000000}"/>
    <cellStyle name="Normal 2 2" xfId="20" xr:uid="{00000000-0005-0000-0000-000018000000}"/>
    <cellStyle name="Normal 2 3" xfId="21" xr:uid="{00000000-0005-0000-0000-000019000000}"/>
    <cellStyle name="Normal 2 4" xfId="22" xr:uid="{00000000-0005-0000-0000-00001A000000}"/>
    <cellStyle name="Normal 20 2" xfId="23" xr:uid="{00000000-0005-0000-0000-00001B000000}"/>
    <cellStyle name="Normal 20 3" xfId="24" xr:uid="{00000000-0005-0000-0000-00001C000000}"/>
    <cellStyle name="Normal 20 4" xfId="25" xr:uid="{00000000-0005-0000-0000-00001D000000}"/>
    <cellStyle name="Normal 23 2" xfId="26" xr:uid="{00000000-0005-0000-0000-00001E000000}"/>
    <cellStyle name="Normal 23 3" xfId="27" xr:uid="{00000000-0005-0000-0000-00001F000000}"/>
    <cellStyle name="Normal 23 4" xfId="28" xr:uid="{00000000-0005-0000-0000-000020000000}"/>
    <cellStyle name="Normal 3" xfId="41" xr:uid="{00000000-0005-0000-0000-000021000000}"/>
    <cellStyle name="Normal 37 2" xfId="29" xr:uid="{00000000-0005-0000-0000-000022000000}"/>
    <cellStyle name="Normal 37 3" xfId="30" xr:uid="{00000000-0005-0000-0000-000023000000}"/>
    <cellStyle name="Normal 37 4" xfId="31" xr:uid="{00000000-0005-0000-0000-000024000000}"/>
    <cellStyle name="Normal 38 2" xfId="32" xr:uid="{00000000-0005-0000-0000-000025000000}"/>
    <cellStyle name="Normal 38 3" xfId="33" xr:uid="{00000000-0005-0000-0000-000026000000}"/>
    <cellStyle name="Normal 38 4" xfId="34" xr:uid="{00000000-0005-0000-0000-000027000000}"/>
    <cellStyle name="Normal 5" xfId="42" xr:uid="{00000000-0005-0000-0000-000028000000}"/>
    <cellStyle name="Normal 9 2" xfId="35" xr:uid="{00000000-0005-0000-0000-000029000000}"/>
    <cellStyle name="Normal 9 3" xfId="36" xr:uid="{00000000-0005-0000-0000-00002A000000}"/>
    <cellStyle name="Normal 9 4" xfId="37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14</xdr:row>
      <xdr:rowOff>28575</xdr:rowOff>
    </xdr:from>
    <xdr:to>
      <xdr:col>9</xdr:col>
      <xdr:colOff>191836</xdr:colOff>
      <xdr:row>44</xdr:row>
      <xdr:rowOff>143569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F87D4-51D3-BDAE-96AE-099715E9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533650"/>
          <a:ext cx="9573961" cy="4972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8</xdr:row>
      <xdr:rowOff>123825</xdr:rowOff>
    </xdr:from>
    <xdr:to>
      <xdr:col>10</xdr:col>
      <xdr:colOff>1001119</xdr:colOff>
      <xdr:row>49</xdr:row>
      <xdr:rowOff>58070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73B885-0866-4398-829C-0318850F9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1800225"/>
          <a:ext cx="7125694" cy="6592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8</xdr:row>
      <xdr:rowOff>95250</xdr:rowOff>
    </xdr:from>
    <xdr:to>
      <xdr:col>10</xdr:col>
      <xdr:colOff>67693</xdr:colOff>
      <xdr:row>47</xdr:row>
      <xdr:rowOff>77081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5EEE5B-719A-E365-C744-9D793B290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1771650"/>
          <a:ext cx="7297168" cy="631595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8</xdr:row>
      <xdr:rowOff>85725</xdr:rowOff>
    </xdr:from>
    <xdr:to>
      <xdr:col>18</xdr:col>
      <xdr:colOff>96279</xdr:colOff>
      <xdr:row>48</xdr:row>
      <xdr:rowOff>143790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B9B56E-3BC8-723C-20B8-7F6BDC5C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3775" y="1762125"/>
          <a:ext cx="7373379" cy="655411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15</xdr:col>
      <xdr:colOff>239119</xdr:colOff>
      <xdr:row>92</xdr:row>
      <xdr:rowOff>115220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AF646-B880-F77B-6FF5-495825C4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8820150"/>
          <a:ext cx="7125694" cy="6592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6</xdr:row>
      <xdr:rowOff>85725</xdr:rowOff>
    </xdr:from>
    <xdr:to>
      <xdr:col>10</xdr:col>
      <xdr:colOff>10554</xdr:colOff>
      <xdr:row>47</xdr:row>
      <xdr:rowOff>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6B255-98F9-4932-A482-07DA48AC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943100"/>
          <a:ext cx="7373379" cy="65541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-DE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ea-Credit2\AppData\Local\Microsoft\Windows\INetCache\Content.Outlook\R4F19B9Y\biblio%20Glob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24"/>
      <sheetName val="ROOM TYPE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2024"/>
      <sheetName val="rate code"/>
      <sheetName val="tax 19.03"/>
      <sheetName val="mar 2024"/>
      <sheetName val="tax 24.03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20" sqref="F20"/>
    </sheetView>
  </sheetViews>
  <sheetFormatPr defaultRowHeight="12.75"/>
  <cols>
    <col min="1" max="1" width="20.7109375" customWidth="1"/>
    <col min="2" max="2" width="24.28515625" bestFit="1" customWidth="1"/>
    <col min="3" max="6" width="20.7109375" customWidth="1"/>
    <col min="7" max="7" width="24" bestFit="1" customWidth="1"/>
    <col min="8" max="10" width="20.7109375" customWidth="1"/>
  </cols>
  <sheetData>
    <row r="1" spans="1:10" ht="20.25" thickTop="1" thickBot="1">
      <c r="B1" s="2" t="s">
        <v>8</v>
      </c>
      <c r="C1" s="2" t="s">
        <v>9</v>
      </c>
      <c r="D1" s="14" t="s">
        <v>19</v>
      </c>
      <c r="E1" s="1" t="s">
        <v>1</v>
      </c>
      <c r="F1" s="1" t="s">
        <v>2</v>
      </c>
      <c r="G1" s="1" t="s">
        <v>3</v>
      </c>
      <c r="H1" s="2" t="s">
        <v>0</v>
      </c>
      <c r="I1" s="2" t="s">
        <v>7</v>
      </c>
      <c r="J1" s="1" t="s">
        <v>4</v>
      </c>
    </row>
    <row r="2" spans="1:10" ht="17.25" thickTop="1" thickBot="1">
      <c r="A2" s="9"/>
      <c r="B2" s="29">
        <v>10351344</v>
      </c>
      <c r="C2" s="16">
        <v>35233</v>
      </c>
      <c r="D2" s="30">
        <v>46057</v>
      </c>
      <c r="E2" s="31">
        <v>46142</v>
      </c>
      <c r="F2" s="31">
        <v>46143</v>
      </c>
      <c r="G2" s="17" t="s">
        <v>12</v>
      </c>
      <c r="H2" s="18">
        <f t="shared" ref="H2:H15" si="0">+F2-E2</f>
        <v>1</v>
      </c>
      <c r="I2" s="19">
        <f>47*2</f>
        <v>94</v>
      </c>
      <c r="J2" s="20">
        <f t="shared" ref="J2:J15" si="1">+I2*H2</f>
        <v>94</v>
      </c>
    </row>
    <row r="3" spans="1:10" ht="17.25" thickTop="1" thickBot="1">
      <c r="A3" s="9"/>
      <c r="B3" s="29">
        <v>10412752</v>
      </c>
      <c r="C3" s="16">
        <v>35358</v>
      </c>
      <c r="D3" s="30">
        <v>46070</v>
      </c>
      <c r="E3" s="31">
        <v>46140</v>
      </c>
      <c r="F3" s="31">
        <v>46146</v>
      </c>
      <c r="G3" s="17" t="s">
        <v>12</v>
      </c>
      <c r="H3" s="18">
        <f t="shared" si="0"/>
        <v>6</v>
      </c>
      <c r="I3" s="19" t="s">
        <v>26</v>
      </c>
      <c r="J3" s="20">
        <f>94*3+112*3</f>
        <v>618</v>
      </c>
    </row>
    <row r="4" spans="1:10" ht="17.25" thickTop="1" thickBot="1">
      <c r="B4" s="29">
        <v>10412776</v>
      </c>
      <c r="C4" s="16">
        <v>35383</v>
      </c>
      <c r="D4" s="30">
        <v>46070</v>
      </c>
      <c r="E4" s="31">
        <v>46140</v>
      </c>
      <c r="F4" s="31">
        <v>46146</v>
      </c>
      <c r="G4" s="17" t="s">
        <v>12</v>
      </c>
      <c r="H4" s="18">
        <f t="shared" si="0"/>
        <v>6</v>
      </c>
      <c r="I4" s="19" t="s">
        <v>26</v>
      </c>
      <c r="J4" s="20">
        <f>94*3+112*3</f>
        <v>618</v>
      </c>
    </row>
    <row r="5" spans="1:10" s="13" customFormat="1" ht="17.25" thickTop="1" thickBot="1">
      <c r="B5" s="29">
        <v>10581485</v>
      </c>
      <c r="C5" s="16">
        <v>35442</v>
      </c>
      <c r="D5" s="30">
        <v>46136</v>
      </c>
      <c r="E5" s="31">
        <v>46141</v>
      </c>
      <c r="F5" s="31">
        <v>46148</v>
      </c>
      <c r="G5" s="17" t="s">
        <v>12</v>
      </c>
      <c r="H5" s="18">
        <f t="shared" si="0"/>
        <v>7</v>
      </c>
      <c r="I5" s="19" t="s">
        <v>27</v>
      </c>
      <c r="J5" s="20">
        <f>94*2+80*5</f>
        <v>588</v>
      </c>
    </row>
    <row r="6" spans="1:10" ht="17.25" thickTop="1" thickBot="1">
      <c r="B6" s="29">
        <v>10371758</v>
      </c>
      <c r="C6" s="16">
        <v>35562</v>
      </c>
      <c r="D6" s="30">
        <v>46063</v>
      </c>
      <c r="E6" s="31">
        <v>46141</v>
      </c>
      <c r="F6" s="31">
        <v>46151</v>
      </c>
      <c r="G6" s="17" t="s">
        <v>12</v>
      </c>
      <c r="H6" s="18">
        <f t="shared" si="0"/>
        <v>10</v>
      </c>
      <c r="I6" s="19" t="s">
        <v>26</v>
      </c>
      <c r="J6" s="20">
        <f>94*2+112*8</f>
        <v>1084</v>
      </c>
    </row>
    <row r="7" spans="1:10" ht="17.25" thickTop="1" thickBot="1">
      <c r="B7" s="29">
        <v>10372546</v>
      </c>
      <c r="C7" s="16">
        <v>35696</v>
      </c>
      <c r="D7" s="30">
        <v>46107</v>
      </c>
      <c r="E7" s="31">
        <v>46142</v>
      </c>
      <c r="F7" s="31">
        <v>46153</v>
      </c>
      <c r="G7" s="17" t="s">
        <v>12</v>
      </c>
      <c r="H7" s="18">
        <f t="shared" si="0"/>
        <v>11</v>
      </c>
      <c r="I7" s="19" t="s">
        <v>26</v>
      </c>
      <c r="J7" s="20">
        <f>94+112*10</f>
        <v>1214</v>
      </c>
    </row>
    <row r="8" spans="1:10" ht="17.25" thickTop="1" thickBot="1">
      <c r="B8" s="29">
        <v>10372560</v>
      </c>
      <c r="C8" s="16">
        <v>35697</v>
      </c>
      <c r="D8" s="30">
        <v>46078</v>
      </c>
      <c r="E8" s="31">
        <v>46142</v>
      </c>
      <c r="F8" s="31">
        <v>46153</v>
      </c>
      <c r="G8" s="17" t="s">
        <v>12</v>
      </c>
      <c r="H8" s="18">
        <f t="shared" si="0"/>
        <v>11</v>
      </c>
      <c r="I8" s="19" t="s">
        <v>26</v>
      </c>
      <c r="J8" s="20">
        <f>94+112*10</f>
        <v>1214</v>
      </c>
    </row>
    <row r="9" spans="1:10" ht="17.25" thickTop="1" thickBot="1">
      <c r="B9" s="29">
        <v>10472529</v>
      </c>
      <c r="C9" s="16">
        <v>35823</v>
      </c>
      <c r="D9" s="30">
        <v>46139</v>
      </c>
      <c r="E9" s="31">
        <v>46148</v>
      </c>
      <c r="F9" s="31">
        <v>46157</v>
      </c>
      <c r="G9" s="17" t="s">
        <v>14</v>
      </c>
      <c r="H9" s="18">
        <f t="shared" si="0"/>
        <v>9</v>
      </c>
      <c r="I9" s="19" t="s">
        <v>28</v>
      </c>
      <c r="J9" s="20">
        <f>64*5+56*4</f>
        <v>544</v>
      </c>
    </row>
    <row r="10" spans="1:10" ht="17.25" thickTop="1" thickBot="1">
      <c r="B10" s="29">
        <v>10472507</v>
      </c>
      <c r="C10" s="16">
        <v>35824</v>
      </c>
      <c r="D10" s="30">
        <v>46139</v>
      </c>
      <c r="E10" s="31">
        <v>46148</v>
      </c>
      <c r="F10" s="31">
        <v>46157</v>
      </c>
      <c r="G10" s="17" t="s">
        <v>12</v>
      </c>
      <c r="H10" s="18">
        <f t="shared" si="0"/>
        <v>9</v>
      </c>
      <c r="I10" s="19" t="s">
        <v>29</v>
      </c>
      <c r="J10" s="20">
        <f>80*5+70*4</f>
        <v>680</v>
      </c>
    </row>
    <row r="11" spans="1:10" ht="17.25" thickTop="1" thickBot="1">
      <c r="B11" s="29">
        <v>10404746</v>
      </c>
      <c r="C11" s="16">
        <v>35886</v>
      </c>
      <c r="D11" s="30">
        <v>46142</v>
      </c>
      <c r="E11" s="31">
        <v>46151</v>
      </c>
      <c r="F11" s="31">
        <v>46159</v>
      </c>
      <c r="G11" s="17" t="s">
        <v>12</v>
      </c>
      <c r="H11" s="18">
        <f t="shared" si="0"/>
        <v>8</v>
      </c>
      <c r="I11" s="19" t="s">
        <v>30</v>
      </c>
      <c r="J11" s="20">
        <f>90*2+80*6</f>
        <v>660</v>
      </c>
    </row>
    <row r="12" spans="1:10" ht="17.25" thickTop="1" thickBot="1">
      <c r="B12" s="29">
        <v>10434082</v>
      </c>
      <c r="C12" s="16">
        <v>36044</v>
      </c>
      <c r="D12" s="30">
        <v>46147</v>
      </c>
      <c r="E12" s="31">
        <v>46153</v>
      </c>
      <c r="F12" s="31">
        <v>46163</v>
      </c>
      <c r="G12" s="17" t="s">
        <v>12</v>
      </c>
      <c r="H12" s="18">
        <f t="shared" si="0"/>
        <v>10</v>
      </c>
      <c r="I12" s="19">
        <v>80</v>
      </c>
      <c r="J12" s="20">
        <f t="shared" si="1"/>
        <v>800</v>
      </c>
    </row>
    <row r="13" spans="1:10" ht="17.25" thickTop="1" thickBot="1">
      <c r="B13" s="29">
        <v>10475607</v>
      </c>
      <c r="C13" s="16">
        <v>36121</v>
      </c>
      <c r="D13" s="30">
        <v>46136</v>
      </c>
      <c r="E13" s="31">
        <v>46154</v>
      </c>
      <c r="F13" s="31">
        <v>46165</v>
      </c>
      <c r="G13" s="17" t="s">
        <v>12</v>
      </c>
      <c r="H13" s="18">
        <f t="shared" si="0"/>
        <v>11</v>
      </c>
      <c r="I13" s="19">
        <v>70</v>
      </c>
      <c r="J13" s="20">
        <f t="shared" si="1"/>
        <v>770</v>
      </c>
    </row>
    <row r="14" spans="1:10" ht="17.25" thickTop="1" thickBot="1">
      <c r="B14" s="29">
        <v>10475618</v>
      </c>
      <c r="C14" s="16">
        <v>36122</v>
      </c>
      <c r="D14" s="30">
        <v>46136</v>
      </c>
      <c r="E14" s="31">
        <v>46154</v>
      </c>
      <c r="F14" s="31">
        <v>46165</v>
      </c>
      <c r="G14" s="17" t="s">
        <v>14</v>
      </c>
      <c r="H14" s="18">
        <f t="shared" si="0"/>
        <v>11</v>
      </c>
      <c r="I14" s="19">
        <v>56</v>
      </c>
      <c r="J14" s="20">
        <f t="shared" si="1"/>
        <v>616</v>
      </c>
    </row>
    <row r="15" spans="1:10" ht="16.5" thickTop="1">
      <c r="B15" s="29">
        <v>10673171</v>
      </c>
      <c r="C15" s="16">
        <v>36406</v>
      </c>
      <c r="D15" s="30">
        <v>46170</v>
      </c>
      <c r="E15" s="31">
        <v>46170</v>
      </c>
      <c r="F15" s="31">
        <v>46171</v>
      </c>
      <c r="G15" s="17" t="s">
        <v>12</v>
      </c>
      <c r="H15" s="18">
        <f t="shared" si="0"/>
        <v>1</v>
      </c>
      <c r="I15" s="19">
        <v>80</v>
      </c>
      <c r="J15" s="20">
        <f t="shared" si="1"/>
        <v>80</v>
      </c>
    </row>
  </sheetData>
  <autoFilter ref="B1:J15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workbookViewId="0">
      <selection activeCell="A4" sqref="A4"/>
    </sheetView>
  </sheetViews>
  <sheetFormatPr defaultRowHeight="12.75"/>
  <cols>
    <col min="1" max="10" width="15.7109375" customWidth="1"/>
    <col min="11" max="11" width="24" bestFit="1" customWidth="1"/>
    <col min="13" max="14" width="17.42578125" bestFit="1" customWidth="1"/>
    <col min="15" max="15" width="16.85546875" bestFit="1" customWidth="1"/>
    <col min="16" max="16" width="16.42578125" bestFit="1" customWidth="1"/>
    <col min="17" max="17" width="12.5703125" bestFit="1" customWidth="1"/>
  </cols>
  <sheetData>
    <row r="1" spans="1:17" ht="17.25" thickTop="1" thickBot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5" thickTop="1">
      <c r="A2" s="6">
        <v>46113</v>
      </c>
      <c r="B2" s="6">
        <v>46122</v>
      </c>
      <c r="C2" s="7">
        <f t="shared" ref="C2" si="0">+(F2/2)*1.6</f>
        <v>88</v>
      </c>
      <c r="D2" s="7"/>
      <c r="E2" s="7"/>
      <c r="F2" s="7">
        <f>55*2</f>
        <v>110</v>
      </c>
      <c r="G2" s="7">
        <f t="shared" ref="G2" si="1">+((F2/2)-3)*3</f>
        <v>156</v>
      </c>
      <c r="H2" s="7">
        <f t="shared" ref="H2" si="2">+C2+7</f>
        <v>95</v>
      </c>
      <c r="I2" s="7">
        <f t="shared" ref="I2" si="3">+F2+14</f>
        <v>124</v>
      </c>
      <c r="J2" s="5">
        <f t="shared" ref="J2" si="4">+((F2/2)-3+7)*3</f>
        <v>177</v>
      </c>
      <c r="K2" s="21">
        <f t="shared" ref="K2:K3" si="5">+(I2/2)*2.5</f>
        <v>155</v>
      </c>
      <c r="L2" s="21"/>
      <c r="M2" s="22">
        <f t="shared" ref="M2:M3" si="6">+F2+24</f>
        <v>134</v>
      </c>
      <c r="N2" s="21">
        <f t="shared" ref="N2:N3" si="7">+F2+24</f>
        <v>134</v>
      </c>
      <c r="O2" s="21">
        <f t="shared" ref="O2:O3" si="8">+H2+(I2/4)</f>
        <v>126</v>
      </c>
      <c r="P2" s="21">
        <f t="shared" ref="P2:P3" si="9">+G2+36</f>
        <v>192</v>
      </c>
      <c r="Q2" s="21">
        <f t="shared" ref="Q2:Q3" si="10">+C2+(F2/4)</f>
        <v>115.5</v>
      </c>
    </row>
    <row r="3" spans="1:17" ht="14.25">
      <c r="A3" s="6">
        <v>46123</v>
      </c>
      <c r="B3" s="6">
        <v>46142</v>
      </c>
      <c r="C3" s="7">
        <v>75</v>
      </c>
      <c r="D3" s="7"/>
      <c r="E3" s="7"/>
      <c r="F3" s="7">
        <f>47*2</f>
        <v>94</v>
      </c>
      <c r="G3" s="7">
        <f>+((F3/2)-3)*3</f>
        <v>132</v>
      </c>
      <c r="H3" s="7">
        <f>+C3+7</f>
        <v>82</v>
      </c>
      <c r="I3" s="7">
        <f>+F3+14</f>
        <v>108</v>
      </c>
      <c r="J3" s="8">
        <f>+((F3/2)-3+7)*3</f>
        <v>153</v>
      </c>
      <c r="K3" s="23">
        <f t="shared" si="5"/>
        <v>135</v>
      </c>
      <c r="L3" s="23"/>
      <c r="M3" s="24">
        <f t="shared" si="6"/>
        <v>118</v>
      </c>
      <c r="N3" s="23">
        <f t="shared" si="7"/>
        <v>118</v>
      </c>
      <c r="O3" s="23">
        <f t="shared" si="8"/>
        <v>109</v>
      </c>
      <c r="P3" s="23">
        <f t="shared" si="9"/>
        <v>168</v>
      </c>
      <c r="Q3" s="23">
        <f t="shared" si="10"/>
        <v>98.5</v>
      </c>
    </row>
    <row r="4" spans="1:17" ht="14.25">
      <c r="A4" s="6">
        <v>46143</v>
      </c>
      <c r="B4" s="6">
        <v>46152</v>
      </c>
      <c r="C4" s="7">
        <v>90</v>
      </c>
      <c r="D4" s="7">
        <v>56</v>
      </c>
      <c r="E4" s="7">
        <v>53</v>
      </c>
      <c r="F4" s="7">
        <f>+D4*2</f>
        <v>112</v>
      </c>
      <c r="G4" s="7">
        <f>+E4*3</f>
        <v>159</v>
      </c>
      <c r="H4" s="7">
        <f t="shared" ref="H4:H9" si="11">+C4+7</f>
        <v>97</v>
      </c>
      <c r="I4" s="7">
        <f>+F4+14</f>
        <v>126</v>
      </c>
      <c r="J4" s="8">
        <f>+G4+21</f>
        <v>180</v>
      </c>
      <c r="K4" s="23">
        <f t="shared" ref="K4:K10" si="12">+(I4/2)*2.5</f>
        <v>157.5</v>
      </c>
      <c r="L4" s="23"/>
      <c r="M4" s="24">
        <f t="shared" ref="M4:M10" si="13">+F4+24</f>
        <v>136</v>
      </c>
      <c r="N4" s="23">
        <f t="shared" ref="N4:N10" si="14">+F4+24</f>
        <v>136</v>
      </c>
      <c r="O4" s="23">
        <f t="shared" ref="O4:O10" si="15">+H4+(I4/4)</f>
        <v>128.5</v>
      </c>
      <c r="P4" s="23">
        <f t="shared" ref="P4:P10" si="16">+G4+36</f>
        <v>195</v>
      </c>
      <c r="Q4" s="23">
        <f t="shared" ref="Q4:Q10" si="17">+C4+(F4/4)</f>
        <v>118</v>
      </c>
    </row>
    <row r="5" spans="1:17" s="15" customFormat="1" ht="14.25">
      <c r="A5" s="6">
        <v>46153</v>
      </c>
      <c r="B5" s="6">
        <v>46166</v>
      </c>
      <c r="C5" s="27">
        <v>72</v>
      </c>
      <c r="D5" s="27">
        <v>45</v>
      </c>
      <c r="E5" s="27">
        <v>42</v>
      </c>
      <c r="F5" s="7">
        <f t="shared" ref="F5:F8" si="18">+D5*2</f>
        <v>90</v>
      </c>
      <c r="G5" s="7">
        <f t="shared" ref="G5:G10" si="19">+E5*3</f>
        <v>126</v>
      </c>
      <c r="H5" s="27">
        <f t="shared" si="11"/>
        <v>79</v>
      </c>
      <c r="I5" s="27">
        <f t="shared" ref="I5:I9" si="20">+F5+14</f>
        <v>104</v>
      </c>
      <c r="J5" s="8">
        <f t="shared" ref="J5:J10" si="21">+G5+21</f>
        <v>147</v>
      </c>
      <c r="K5" s="23">
        <f t="shared" si="12"/>
        <v>130</v>
      </c>
      <c r="L5" s="23"/>
      <c r="M5" s="28">
        <f t="shared" si="13"/>
        <v>114</v>
      </c>
      <c r="N5" s="23">
        <f t="shared" si="14"/>
        <v>114</v>
      </c>
      <c r="O5" s="23">
        <f t="shared" si="15"/>
        <v>105</v>
      </c>
      <c r="P5" s="23">
        <f t="shared" si="16"/>
        <v>162</v>
      </c>
      <c r="Q5" s="23">
        <f t="shared" si="17"/>
        <v>94.5</v>
      </c>
    </row>
    <row r="6" spans="1:17" s="15" customFormat="1" ht="14.25">
      <c r="A6" s="6">
        <v>46167</v>
      </c>
      <c r="B6" s="6">
        <v>46203</v>
      </c>
      <c r="C6" s="27">
        <v>67</v>
      </c>
      <c r="D6" s="27">
        <v>42</v>
      </c>
      <c r="E6" s="27">
        <v>39</v>
      </c>
      <c r="F6" s="7">
        <f t="shared" si="18"/>
        <v>84</v>
      </c>
      <c r="G6" s="7">
        <f t="shared" si="19"/>
        <v>117</v>
      </c>
      <c r="H6" s="27">
        <f t="shared" ref="H6" si="22">+C6+7</f>
        <v>74</v>
      </c>
      <c r="I6" s="27">
        <f t="shared" ref="I6" si="23">+F6+14</f>
        <v>98</v>
      </c>
      <c r="J6" s="8">
        <f t="shared" si="21"/>
        <v>138</v>
      </c>
      <c r="K6" s="23">
        <f t="shared" ref="K6" si="24">+(I6/2)*2.5</f>
        <v>122.5</v>
      </c>
      <c r="L6" s="23"/>
      <c r="M6" s="28">
        <f t="shared" ref="M6" si="25">+F6+24</f>
        <v>108</v>
      </c>
      <c r="N6" s="23">
        <f t="shared" ref="N6" si="26">+F6+24</f>
        <v>108</v>
      </c>
      <c r="O6" s="23">
        <f t="shared" si="15"/>
        <v>98.5</v>
      </c>
      <c r="P6" s="23">
        <f t="shared" si="16"/>
        <v>153</v>
      </c>
      <c r="Q6" s="23">
        <f t="shared" si="17"/>
        <v>88</v>
      </c>
    </row>
    <row r="7" spans="1:17" ht="14.25">
      <c r="A7" s="6">
        <v>46204</v>
      </c>
      <c r="B7" s="6">
        <v>46234</v>
      </c>
      <c r="C7" s="7">
        <v>90</v>
      </c>
      <c r="D7" s="7">
        <v>56</v>
      </c>
      <c r="E7" s="7">
        <v>53</v>
      </c>
      <c r="F7" s="7">
        <f t="shared" si="18"/>
        <v>112</v>
      </c>
      <c r="G7" s="7">
        <f t="shared" si="19"/>
        <v>159</v>
      </c>
      <c r="H7" s="7">
        <f t="shared" si="11"/>
        <v>97</v>
      </c>
      <c r="I7" s="7">
        <f t="shared" si="20"/>
        <v>126</v>
      </c>
      <c r="J7" s="8">
        <f t="shared" si="21"/>
        <v>180</v>
      </c>
      <c r="K7" s="23">
        <f t="shared" si="12"/>
        <v>157.5</v>
      </c>
      <c r="L7" s="23"/>
      <c r="M7" s="24">
        <f t="shared" si="13"/>
        <v>136</v>
      </c>
      <c r="N7" s="23">
        <f t="shared" si="14"/>
        <v>136</v>
      </c>
      <c r="O7" s="23">
        <f t="shared" si="15"/>
        <v>128.5</v>
      </c>
      <c r="P7" s="23">
        <f t="shared" si="16"/>
        <v>195</v>
      </c>
      <c r="Q7" s="23">
        <f t="shared" si="17"/>
        <v>118</v>
      </c>
    </row>
    <row r="8" spans="1:17" ht="14.25">
      <c r="A8" s="6">
        <v>46235</v>
      </c>
      <c r="B8" s="6">
        <v>46326</v>
      </c>
      <c r="C8" s="7">
        <v>96</v>
      </c>
      <c r="D8" s="7">
        <v>60</v>
      </c>
      <c r="E8" s="7">
        <v>57</v>
      </c>
      <c r="F8" s="7">
        <f t="shared" si="18"/>
        <v>120</v>
      </c>
      <c r="G8" s="7">
        <f t="shared" si="19"/>
        <v>171</v>
      </c>
      <c r="H8" s="7">
        <f t="shared" si="11"/>
        <v>103</v>
      </c>
      <c r="I8" s="7">
        <f t="shared" si="20"/>
        <v>134</v>
      </c>
      <c r="J8" s="8">
        <f t="shared" si="21"/>
        <v>192</v>
      </c>
      <c r="K8" s="23">
        <f t="shared" si="12"/>
        <v>167.5</v>
      </c>
      <c r="L8" s="23"/>
      <c r="M8" s="24">
        <f t="shared" si="13"/>
        <v>144</v>
      </c>
      <c r="N8" s="23">
        <f t="shared" si="14"/>
        <v>144</v>
      </c>
      <c r="O8" s="23">
        <f t="shared" si="15"/>
        <v>136.5</v>
      </c>
      <c r="P8" s="23">
        <f t="shared" si="16"/>
        <v>207</v>
      </c>
      <c r="Q8" s="23">
        <f t="shared" si="17"/>
        <v>126</v>
      </c>
    </row>
    <row r="9" spans="1:17" ht="14.25">
      <c r="A9" s="6"/>
      <c r="B9" s="6"/>
      <c r="C9" s="7"/>
      <c r="D9" s="7"/>
      <c r="E9" s="7"/>
      <c r="F9" s="7"/>
      <c r="G9" s="7">
        <f t="shared" si="19"/>
        <v>0</v>
      </c>
      <c r="H9" s="7">
        <f t="shared" si="11"/>
        <v>7</v>
      </c>
      <c r="I9" s="7">
        <f t="shared" si="20"/>
        <v>14</v>
      </c>
      <c r="J9" s="8">
        <f t="shared" si="21"/>
        <v>21</v>
      </c>
      <c r="K9" s="23">
        <f t="shared" si="12"/>
        <v>17.5</v>
      </c>
      <c r="L9" s="23"/>
      <c r="M9" s="24">
        <f t="shared" si="13"/>
        <v>24</v>
      </c>
      <c r="N9" s="23">
        <f t="shared" si="14"/>
        <v>24</v>
      </c>
      <c r="O9" s="23">
        <f t="shared" si="15"/>
        <v>10.5</v>
      </c>
      <c r="P9" s="23">
        <f t="shared" si="16"/>
        <v>36</v>
      </c>
      <c r="Q9" s="23">
        <f t="shared" si="17"/>
        <v>0</v>
      </c>
    </row>
    <row r="10" spans="1:17" ht="14.25">
      <c r="A10" s="6"/>
      <c r="B10" s="6"/>
      <c r="C10" s="7"/>
      <c r="D10" s="7"/>
      <c r="E10" s="7"/>
      <c r="F10" s="7"/>
      <c r="G10" s="7">
        <f t="shared" si="19"/>
        <v>0</v>
      </c>
      <c r="H10" s="7">
        <f>+C10+7</f>
        <v>7</v>
      </c>
      <c r="I10" s="7">
        <f>+F10+14</f>
        <v>14</v>
      </c>
      <c r="J10" s="8">
        <f t="shared" si="21"/>
        <v>21</v>
      </c>
      <c r="K10" s="25">
        <f t="shared" si="12"/>
        <v>17.5</v>
      </c>
      <c r="L10" s="25"/>
      <c r="M10" s="26">
        <f t="shared" si="13"/>
        <v>24</v>
      </c>
      <c r="N10" s="25">
        <f t="shared" si="14"/>
        <v>24</v>
      </c>
      <c r="O10" s="25">
        <f t="shared" si="15"/>
        <v>10.5</v>
      </c>
      <c r="P10" s="25">
        <f t="shared" si="16"/>
        <v>36</v>
      </c>
      <c r="Q10" s="25">
        <f t="shared" si="17"/>
        <v>0</v>
      </c>
    </row>
    <row r="39" spans="7:7">
      <c r="G39" s="11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'C:\Users\Area-Credit2\AppData\Local\Microsoft\Windows\INetCache\Content.Outlook\R4F19B9Y\[biblio -DEC.xlsx]ROOM TYPE'!#REF!</xm:f>
          </x14:formula1>
          <xm:sqref>G1</xm:sqref>
        </x14:dataValidation>
        <x14:dataValidation type="list" allowBlank="1" showInputMessage="1" showErrorMessage="1" xr:uid="{00000000-0002-0000-0100-000001000000}">
          <x14:formula1>
            <xm:f>'C:\Users\Area-Credit2\AppData\Local\Microsoft\Windows\INetCache\Content.Outlook\R4F19B9Y\[biblio Globus.xls]rate code'!#REF!</xm:f>
          </x14:formula1>
          <xm:sqref>K1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9526-4E9A-458F-83B1-18A3748A1B99}">
  <dimension ref="A1:Q9"/>
  <sheetViews>
    <sheetView workbookViewId="0">
      <selection activeCell="A2" sqref="A2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4.25">
      <c r="A2" s="6">
        <v>46127</v>
      </c>
      <c r="B2" s="6">
        <v>46142</v>
      </c>
      <c r="C2" s="7">
        <v>75</v>
      </c>
      <c r="D2" s="7"/>
      <c r="E2" s="7"/>
      <c r="F2" s="7">
        <f>47*2</f>
        <v>94</v>
      </c>
      <c r="G2" s="7">
        <f>+((F2/2)-3)*3</f>
        <v>132</v>
      </c>
      <c r="H2" s="7">
        <f>+C2+7</f>
        <v>82</v>
      </c>
      <c r="I2" s="7">
        <f>+F2+14</f>
        <v>108</v>
      </c>
      <c r="J2" s="8">
        <f>+((F2/2)-3+7)*3</f>
        <v>153</v>
      </c>
      <c r="K2" s="23">
        <f t="shared" ref="K2:K9" si="0">+(I2/2)*2.5</f>
        <v>135</v>
      </c>
      <c r="L2" s="23"/>
      <c r="M2" s="24">
        <f t="shared" ref="M2:M9" si="1">+F2+24</f>
        <v>118</v>
      </c>
      <c r="N2" s="23">
        <f t="shared" ref="N2:N9" si="2">+F2+24</f>
        <v>118</v>
      </c>
      <c r="O2" s="23">
        <f t="shared" ref="O2:O9" si="3">+H2+(I2/4)</f>
        <v>109</v>
      </c>
      <c r="P2" s="23">
        <f t="shared" ref="P2:P9" si="4">+G2+36</f>
        <v>168</v>
      </c>
      <c r="Q2" s="23">
        <f t="shared" ref="Q2:Q9" si="5">+C2+(F2/4)</f>
        <v>98.5</v>
      </c>
    </row>
    <row r="3" spans="1:17" ht="14.25">
      <c r="A3" s="6">
        <v>46143</v>
      </c>
      <c r="B3" s="6">
        <v>46152</v>
      </c>
      <c r="C3" s="7">
        <v>64</v>
      </c>
      <c r="D3" s="7">
        <v>40</v>
      </c>
      <c r="E3" s="7">
        <f>111/3</f>
        <v>37</v>
      </c>
      <c r="F3" s="7">
        <f>+D3*2</f>
        <v>80</v>
      </c>
      <c r="G3" s="7">
        <f>+E3*3</f>
        <v>111</v>
      </c>
      <c r="H3" s="7">
        <f t="shared" ref="H3:H8" si="6">+C3+7</f>
        <v>71</v>
      </c>
      <c r="I3" s="7">
        <f>+F3+14</f>
        <v>94</v>
      </c>
      <c r="J3" s="8">
        <f>+G3+21</f>
        <v>132</v>
      </c>
      <c r="K3" s="23">
        <f t="shared" si="0"/>
        <v>117.5</v>
      </c>
      <c r="L3" s="23"/>
      <c r="M3" s="24">
        <f t="shared" si="1"/>
        <v>104</v>
      </c>
      <c r="N3" s="23">
        <f t="shared" si="2"/>
        <v>104</v>
      </c>
      <c r="O3" s="23">
        <f t="shared" si="3"/>
        <v>94.5</v>
      </c>
      <c r="P3" s="23">
        <f t="shared" si="4"/>
        <v>147</v>
      </c>
      <c r="Q3" s="23">
        <f t="shared" si="5"/>
        <v>84</v>
      </c>
    </row>
    <row r="4" spans="1:17" s="15" customFormat="1" ht="14.25">
      <c r="A4" s="6">
        <v>46153</v>
      </c>
      <c r="B4" s="6">
        <v>46166</v>
      </c>
      <c r="C4" s="27">
        <v>56</v>
      </c>
      <c r="D4" s="27">
        <v>35</v>
      </c>
      <c r="E4" s="27">
        <f>96/3</f>
        <v>32</v>
      </c>
      <c r="F4" s="7">
        <f t="shared" ref="F4:F7" si="7">+D4*2</f>
        <v>70</v>
      </c>
      <c r="G4" s="7">
        <f t="shared" ref="G4:G9" si="8">+E4*3</f>
        <v>96</v>
      </c>
      <c r="H4" s="27">
        <f t="shared" si="6"/>
        <v>63</v>
      </c>
      <c r="I4" s="27">
        <f t="shared" ref="I4:I8" si="9">+F4+14</f>
        <v>84</v>
      </c>
      <c r="J4" s="8">
        <f t="shared" ref="J4:J9" si="10">+G4+21</f>
        <v>117</v>
      </c>
      <c r="K4" s="23">
        <f t="shared" si="0"/>
        <v>105</v>
      </c>
      <c r="L4" s="23"/>
      <c r="M4" s="28">
        <f t="shared" si="1"/>
        <v>94</v>
      </c>
      <c r="N4" s="23">
        <f t="shared" si="2"/>
        <v>94</v>
      </c>
      <c r="O4" s="23">
        <f t="shared" si="3"/>
        <v>84</v>
      </c>
      <c r="P4" s="23">
        <f t="shared" si="4"/>
        <v>132</v>
      </c>
      <c r="Q4" s="23">
        <f t="shared" si="5"/>
        <v>73.5</v>
      </c>
    </row>
    <row r="5" spans="1:17" s="15" customFormat="1" ht="14.25">
      <c r="A5" s="6">
        <v>46167</v>
      </c>
      <c r="B5" s="6">
        <v>46203</v>
      </c>
      <c r="C5" s="27">
        <v>67</v>
      </c>
      <c r="D5" s="27">
        <v>42</v>
      </c>
      <c r="E5" s="27">
        <v>39</v>
      </c>
      <c r="F5" s="7">
        <f t="shared" si="7"/>
        <v>84</v>
      </c>
      <c r="G5" s="7">
        <f t="shared" si="8"/>
        <v>117</v>
      </c>
      <c r="H5" s="27">
        <f t="shared" si="6"/>
        <v>74</v>
      </c>
      <c r="I5" s="27">
        <f t="shared" si="9"/>
        <v>98</v>
      </c>
      <c r="J5" s="8">
        <f t="shared" si="10"/>
        <v>138</v>
      </c>
      <c r="K5" s="23">
        <f t="shared" si="0"/>
        <v>122.5</v>
      </c>
      <c r="L5" s="23"/>
      <c r="M5" s="28">
        <f t="shared" si="1"/>
        <v>108</v>
      </c>
      <c r="N5" s="23">
        <f t="shared" si="2"/>
        <v>108</v>
      </c>
      <c r="O5" s="23">
        <f t="shared" si="3"/>
        <v>98.5</v>
      </c>
      <c r="P5" s="23">
        <f t="shared" si="4"/>
        <v>153</v>
      </c>
      <c r="Q5" s="23">
        <f t="shared" si="5"/>
        <v>88</v>
      </c>
    </row>
    <row r="6" spans="1:17" ht="14.25">
      <c r="A6" s="6">
        <v>46204</v>
      </c>
      <c r="B6" s="6">
        <v>46234</v>
      </c>
      <c r="C6" s="7">
        <v>90</v>
      </c>
      <c r="D6" s="7">
        <v>56</v>
      </c>
      <c r="E6" s="7">
        <v>53</v>
      </c>
      <c r="F6" s="7">
        <f t="shared" si="7"/>
        <v>112</v>
      </c>
      <c r="G6" s="7">
        <f t="shared" si="8"/>
        <v>159</v>
      </c>
      <c r="H6" s="7">
        <f t="shared" si="6"/>
        <v>97</v>
      </c>
      <c r="I6" s="7">
        <f t="shared" si="9"/>
        <v>126</v>
      </c>
      <c r="J6" s="8">
        <f t="shared" si="10"/>
        <v>180</v>
      </c>
      <c r="K6" s="23">
        <f t="shared" si="0"/>
        <v>157.5</v>
      </c>
      <c r="L6" s="23"/>
      <c r="M6" s="24">
        <f t="shared" si="1"/>
        <v>136</v>
      </c>
      <c r="N6" s="23">
        <f t="shared" si="2"/>
        <v>136</v>
      </c>
      <c r="O6" s="23">
        <f t="shared" si="3"/>
        <v>128.5</v>
      </c>
      <c r="P6" s="23">
        <f t="shared" si="4"/>
        <v>195</v>
      </c>
      <c r="Q6" s="23">
        <f t="shared" si="5"/>
        <v>118</v>
      </c>
    </row>
    <row r="7" spans="1:17" ht="14.25">
      <c r="A7" s="6">
        <v>46235</v>
      </c>
      <c r="B7" s="6">
        <v>46326</v>
      </c>
      <c r="C7" s="7">
        <v>96</v>
      </c>
      <c r="D7" s="7">
        <v>60</v>
      </c>
      <c r="E7" s="7">
        <v>57</v>
      </c>
      <c r="F7" s="7">
        <f t="shared" si="7"/>
        <v>120</v>
      </c>
      <c r="G7" s="7">
        <f t="shared" si="8"/>
        <v>171</v>
      </c>
      <c r="H7" s="7">
        <f t="shared" si="6"/>
        <v>103</v>
      </c>
      <c r="I7" s="7">
        <f t="shared" si="9"/>
        <v>134</v>
      </c>
      <c r="J7" s="8">
        <f t="shared" si="10"/>
        <v>192</v>
      </c>
      <c r="K7" s="23">
        <f t="shared" si="0"/>
        <v>167.5</v>
      </c>
      <c r="L7" s="23"/>
      <c r="M7" s="24">
        <f t="shared" si="1"/>
        <v>144</v>
      </c>
      <c r="N7" s="23">
        <f t="shared" si="2"/>
        <v>144</v>
      </c>
      <c r="O7" s="23">
        <f t="shared" si="3"/>
        <v>136.5</v>
      </c>
      <c r="P7" s="23">
        <f t="shared" si="4"/>
        <v>207</v>
      </c>
      <c r="Q7" s="23">
        <f t="shared" si="5"/>
        <v>126</v>
      </c>
    </row>
    <row r="8" spans="1:17" ht="14.25">
      <c r="A8" s="6"/>
      <c r="B8" s="6"/>
      <c r="C8" s="7"/>
      <c r="D8" s="7"/>
      <c r="E8" s="7"/>
      <c r="F8" s="7"/>
      <c r="G8" s="7">
        <f t="shared" si="8"/>
        <v>0</v>
      </c>
      <c r="H8" s="7">
        <f t="shared" si="6"/>
        <v>7</v>
      </c>
      <c r="I8" s="7">
        <f t="shared" si="9"/>
        <v>14</v>
      </c>
      <c r="J8" s="8">
        <f t="shared" si="10"/>
        <v>21</v>
      </c>
      <c r="K8" s="23">
        <f t="shared" si="0"/>
        <v>17.5</v>
      </c>
      <c r="L8" s="23"/>
      <c r="M8" s="24">
        <f t="shared" si="1"/>
        <v>24</v>
      </c>
      <c r="N8" s="23">
        <f t="shared" si="2"/>
        <v>24</v>
      </c>
      <c r="O8" s="23">
        <f t="shared" si="3"/>
        <v>10.5</v>
      </c>
      <c r="P8" s="23">
        <f t="shared" si="4"/>
        <v>36</v>
      </c>
      <c r="Q8" s="23">
        <f t="shared" si="5"/>
        <v>0</v>
      </c>
    </row>
    <row r="9" spans="1:17" ht="14.25">
      <c r="A9" s="6"/>
      <c r="B9" s="6"/>
      <c r="C9" s="7"/>
      <c r="D9" s="7"/>
      <c r="E9" s="7"/>
      <c r="F9" s="7"/>
      <c r="G9" s="7">
        <f t="shared" si="8"/>
        <v>0</v>
      </c>
      <c r="H9" s="7">
        <f>+C9+7</f>
        <v>7</v>
      </c>
      <c r="I9" s="7">
        <f>+F9+14</f>
        <v>14</v>
      </c>
      <c r="J9" s="8">
        <f t="shared" si="10"/>
        <v>21</v>
      </c>
      <c r="K9" s="25">
        <f t="shared" si="0"/>
        <v>17.5</v>
      </c>
      <c r="L9" s="25"/>
      <c r="M9" s="26">
        <f t="shared" si="1"/>
        <v>24</v>
      </c>
      <c r="N9" s="25">
        <f t="shared" si="2"/>
        <v>24</v>
      </c>
      <c r="O9" s="25">
        <f t="shared" si="3"/>
        <v>10.5</v>
      </c>
      <c r="P9" s="25">
        <f t="shared" si="4"/>
        <v>36</v>
      </c>
      <c r="Q9" s="25">
        <f t="shared" si="5"/>
        <v>0</v>
      </c>
    </row>
  </sheetData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49EEDE-C288-467A-A4D1-C93185565AB6}">
          <x14:formula1>
            <xm:f>'C:\Users\Area-Credit2\AppData\Local\Microsoft\Windows\INetCache\Content.Outlook\R4F19B9Y\[biblio -DEC.xlsx]ROOM TYPE'!#REF!</xm:f>
          </x14:formula1>
          <xm:sqref>G1</xm:sqref>
        </x14:dataValidation>
        <x14:dataValidation type="list" allowBlank="1" showInputMessage="1" showErrorMessage="1" xr:uid="{90812686-E15A-483D-83D5-1B13E0464768}">
          <x14:formula1>
            <xm:f>'C:\Users\Area-Credit2\AppData\Local\Microsoft\Windows\INetCache\Content.Outlook\R4F19B9Y\[biblio Globus.xls]rate code'!#REF!</xm:f>
          </x14:formula1>
          <xm:sqref>K1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>
      <selection activeCell="A2" sqref="A2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ht="14.25">
      <c r="A2" s="6">
        <v>46142</v>
      </c>
      <c r="B2" s="6">
        <v>46142</v>
      </c>
      <c r="C2" s="7">
        <v>75</v>
      </c>
      <c r="D2" s="7"/>
      <c r="E2" s="7"/>
      <c r="F2" s="7">
        <f>47*2</f>
        <v>94</v>
      </c>
      <c r="G2" s="7">
        <f>+((F2/2)-3)*3</f>
        <v>132</v>
      </c>
      <c r="H2" s="7">
        <f>+C2+7</f>
        <v>82</v>
      </c>
      <c r="I2" s="7">
        <f>+F2+14</f>
        <v>108</v>
      </c>
      <c r="J2" s="8">
        <f>+((F2/2)-3+7)*3</f>
        <v>153</v>
      </c>
      <c r="K2" s="23">
        <f t="shared" ref="K2:K9" si="0">+(I2/2)*2.5</f>
        <v>135</v>
      </c>
      <c r="L2" s="23"/>
      <c r="M2" s="24">
        <f t="shared" ref="M2:M9" si="1">+F2+24</f>
        <v>118</v>
      </c>
      <c r="N2" s="23">
        <f t="shared" ref="N2:N9" si="2">+F2+24</f>
        <v>118</v>
      </c>
      <c r="O2" s="23">
        <f t="shared" ref="O2:O9" si="3">+H2+(I2/4)</f>
        <v>109</v>
      </c>
      <c r="P2" s="23">
        <f t="shared" ref="P2:P9" si="4">+G2+36</f>
        <v>168</v>
      </c>
      <c r="Q2" s="23">
        <f t="shared" ref="Q2" si="5">+C2+(F2/4)</f>
        <v>98.5</v>
      </c>
    </row>
    <row r="3" spans="1:17" ht="14.25">
      <c r="A3" s="6">
        <v>46143</v>
      </c>
      <c r="B3" s="6">
        <v>46152</v>
      </c>
      <c r="C3" s="7">
        <v>72</v>
      </c>
      <c r="D3" s="7">
        <v>45</v>
      </c>
      <c r="E3" s="7">
        <f>126/3</f>
        <v>42</v>
      </c>
      <c r="F3" s="7">
        <f>+D3*2</f>
        <v>90</v>
      </c>
      <c r="G3" s="7">
        <f>+E3*3</f>
        <v>126</v>
      </c>
      <c r="H3" s="7">
        <f t="shared" ref="H3:H8" si="6">+C3+7</f>
        <v>79</v>
      </c>
      <c r="I3" s="7">
        <f>+F3+14</f>
        <v>104</v>
      </c>
      <c r="J3" s="8">
        <f>+G3+21</f>
        <v>147</v>
      </c>
      <c r="K3" s="23">
        <f t="shared" si="0"/>
        <v>130</v>
      </c>
      <c r="L3" s="23"/>
      <c r="M3" s="24">
        <f t="shared" si="1"/>
        <v>114</v>
      </c>
      <c r="N3" s="23">
        <f t="shared" si="2"/>
        <v>114</v>
      </c>
      <c r="O3" s="23">
        <f t="shared" si="3"/>
        <v>105</v>
      </c>
      <c r="P3" s="23">
        <f t="shared" si="4"/>
        <v>162</v>
      </c>
      <c r="Q3" s="23">
        <f t="shared" ref="Q3:Q9" si="7">+C3+(F3/4)</f>
        <v>94.5</v>
      </c>
    </row>
    <row r="4" spans="1:17" s="15" customFormat="1" ht="14.25">
      <c r="A4" s="6">
        <v>46153</v>
      </c>
      <c r="B4" s="6">
        <v>46166</v>
      </c>
      <c r="C4" s="27">
        <v>64</v>
      </c>
      <c r="D4" s="27">
        <v>40</v>
      </c>
      <c r="E4" s="27">
        <f>111/3</f>
        <v>37</v>
      </c>
      <c r="F4" s="7">
        <f t="shared" ref="F4:F7" si="8">+D4*2</f>
        <v>80</v>
      </c>
      <c r="G4" s="7">
        <f t="shared" ref="G4:G9" si="9">+E4*3</f>
        <v>111</v>
      </c>
      <c r="H4" s="27">
        <f t="shared" si="6"/>
        <v>71</v>
      </c>
      <c r="I4" s="27">
        <f t="shared" ref="I4:I8" si="10">+F4+14</f>
        <v>94</v>
      </c>
      <c r="J4" s="8">
        <f t="shared" ref="J4:J9" si="11">+G4+21</f>
        <v>132</v>
      </c>
      <c r="K4" s="23">
        <f t="shared" si="0"/>
        <v>117.5</v>
      </c>
      <c r="L4" s="23"/>
      <c r="M4" s="28">
        <f t="shared" si="1"/>
        <v>104</v>
      </c>
      <c r="N4" s="23">
        <f t="shared" si="2"/>
        <v>104</v>
      </c>
      <c r="O4" s="23">
        <f t="shared" si="3"/>
        <v>94.5</v>
      </c>
      <c r="P4" s="23">
        <f t="shared" si="4"/>
        <v>147</v>
      </c>
      <c r="Q4" s="23">
        <f t="shared" si="7"/>
        <v>84</v>
      </c>
    </row>
    <row r="5" spans="1:17" s="15" customFormat="1" ht="14.25">
      <c r="A5" s="6">
        <v>46167</v>
      </c>
      <c r="B5" s="6">
        <v>46203</v>
      </c>
      <c r="C5" s="27">
        <v>67</v>
      </c>
      <c r="D5" s="27">
        <v>42</v>
      </c>
      <c r="E5" s="27">
        <v>39</v>
      </c>
      <c r="F5" s="7">
        <f t="shared" si="8"/>
        <v>84</v>
      </c>
      <c r="G5" s="7">
        <f t="shared" si="9"/>
        <v>117</v>
      </c>
      <c r="H5" s="27">
        <f t="shared" si="6"/>
        <v>74</v>
      </c>
      <c r="I5" s="27">
        <f t="shared" si="10"/>
        <v>98</v>
      </c>
      <c r="J5" s="8">
        <f t="shared" si="11"/>
        <v>138</v>
      </c>
      <c r="K5" s="23">
        <f t="shared" si="0"/>
        <v>122.5</v>
      </c>
      <c r="L5" s="23"/>
      <c r="M5" s="28">
        <f t="shared" si="1"/>
        <v>108</v>
      </c>
      <c r="N5" s="23">
        <f t="shared" si="2"/>
        <v>108</v>
      </c>
      <c r="O5" s="23">
        <f t="shared" si="3"/>
        <v>98.5</v>
      </c>
      <c r="P5" s="23">
        <f t="shared" si="4"/>
        <v>153</v>
      </c>
      <c r="Q5" s="23">
        <f t="shared" si="7"/>
        <v>88</v>
      </c>
    </row>
    <row r="6" spans="1:17" ht="14.25">
      <c r="A6" s="6">
        <v>46204</v>
      </c>
      <c r="B6" s="6">
        <v>46234</v>
      </c>
      <c r="C6" s="7">
        <v>90</v>
      </c>
      <c r="D6" s="7">
        <v>56</v>
      </c>
      <c r="E6" s="7">
        <v>53</v>
      </c>
      <c r="F6" s="7">
        <f t="shared" si="8"/>
        <v>112</v>
      </c>
      <c r="G6" s="7">
        <f t="shared" si="9"/>
        <v>159</v>
      </c>
      <c r="H6" s="7">
        <f t="shared" si="6"/>
        <v>97</v>
      </c>
      <c r="I6" s="7">
        <f t="shared" si="10"/>
        <v>126</v>
      </c>
      <c r="J6" s="8">
        <f t="shared" si="11"/>
        <v>180</v>
      </c>
      <c r="K6" s="23">
        <f t="shared" si="0"/>
        <v>157.5</v>
      </c>
      <c r="L6" s="23"/>
      <c r="M6" s="24">
        <f t="shared" si="1"/>
        <v>136</v>
      </c>
      <c r="N6" s="23">
        <f t="shared" si="2"/>
        <v>136</v>
      </c>
      <c r="O6" s="23">
        <f t="shared" si="3"/>
        <v>128.5</v>
      </c>
      <c r="P6" s="23">
        <f t="shared" si="4"/>
        <v>195</v>
      </c>
      <c r="Q6" s="23">
        <f t="shared" si="7"/>
        <v>118</v>
      </c>
    </row>
    <row r="7" spans="1:17" ht="14.25">
      <c r="A7" s="6">
        <v>46235</v>
      </c>
      <c r="B7" s="6">
        <v>46326</v>
      </c>
      <c r="C7" s="7">
        <v>96</v>
      </c>
      <c r="D7" s="7">
        <v>60</v>
      </c>
      <c r="E7" s="7">
        <v>57</v>
      </c>
      <c r="F7" s="7">
        <f t="shared" si="8"/>
        <v>120</v>
      </c>
      <c r="G7" s="7">
        <f t="shared" si="9"/>
        <v>171</v>
      </c>
      <c r="H7" s="7">
        <f t="shared" si="6"/>
        <v>103</v>
      </c>
      <c r="I7" s="7">
        <f t="shared" si="10"/>
        <v>134</v>
      </c>
      <c r="J7" s="8">
        <f t="shared" si="11"/>
        <v>192</v>
      </c>
      <c r="K7" s="23">
        <f t="shared" si="0"/>
        <v>167.5</v>
      </c>
      <c r="L7" s="23"/>
      <c r="M7" s="24">
        <f t="shared" si="1"/>
        <v>144</v>
      </c>
      <c r="N7" s="23">
        <f t="shared" si="2"/>
        <v>144</v>
      </c>
      <c r="O7" s="23">
        <f t="shared" si="3"/>
        <v>136.5</v>
      </c>
      <c r="P7" s="23">
        <f t="shared" si="4"/>
        <v>207</v>
      </c>
      <c r="Q7" s="23">
        <f t="shared" si="7"/>
        <v>126</v>
      </c>
    </row>
    <row r="8" spans="1:17" ht="14.25">
      <c r="A8" s="6"/>
      <c r="B8" s="6"/>
      <c r="C8" s="7"/>
      <c r="D8" s="7"/>
      <c r="E8" s="7"/>
      <c r="F8" s="7"/>
      <c r="G8" s="7">
        <f t="shared" si="9"/>
        <v>0</v>
      </c>
      <c r="H8" s="7">
        <f t="shared" si="6"/>
        <v>7</v>
      </c>
      <c r="I8" s="7">
        <f t="shared" si="10"/>
        <v>14</v>
      </c>
      <c r="J8" s="8">
        <f t="shared" si="11"/>
        <v>21</v>
      </c>
      <c r="K8" s="23">
        <f t="shared" si="0"/>
        <v>17.5</v>
      </c>
      <c r="L8" s="23"/>
      <c r="M8" s="24">
        <f t="shared" si="1"/>
        <v>24</v>
      </c>
      <c r="N8" s="23">
        <f t="shared" si="2"/>
        <v>24</v>
      </c>
      <c r="O8" s="23">
        <f t="shared" si="3"/>
        <v>10.5</v>
      </c>
      <c r="P8" s="23">
        <f t="shared" si="4"/>
        <v>36</v>
      </c>
      <c r="Q8" s="23">
        <f t="shared" si="7"/>
        <v>0</v>
      </c>
    </row>
    <row r="9" spans="1:17" ht="14.25">
      <c r="A9" s="6"/>
      <c r="B9" s="6"/>
      <c r="C9" s="7"/>
      <c r="D9" s="7"/>
      <c r="E9" s="7"/>
      <c r="F9" s="7"/>
      <c r="G9" s="7">
        <f t="shared" si="9"/>
        <v>0</v>
      </c>
      <c r="H9" s="7">
        <f>+C9+7</f>
        <v>7</v>
      </c>
      <c r="I9" s="7">
        <f>+F9+14</f>
        <v>14</v>
      </c>
      <c r="J9" s="8">
        <f t="shared" si="11"/>
        <v>21</v>
      </c>
      <c r="K9" s="25">
        <f t="shared" si="0"/>
        <v>17.5</v>
      </c>
      <c r="L9" s="25"/>
      <c r="M9" s="26">
        <f t="shared" si="1"/>
        <v>24</v>
      </c>
      <c r="N9" s="25">
        <f t="shared" si="2"/>
        <v>24</v>
      </c>
      <c r="O9" s="25">
        <f t="shared" si="3"/>
        <v>10.5</v>
      </c>
      <c r="P9" s="25">
        <f t="shared" si="4"/>
        <v>36</v>
      </c>
      <c r="Q9" s="25">
        <f t="shared" si="7"/>
        <v>0</v>
      </c>
    </row>
  </sheetData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F5121FC-ACE1-427D-9B96-2246AEE199F9}">
          <x14:formula1>
            <xm:f>'C:\Users\Area-Credit2\AppData\Local\Microsoft\Windows\INetCache\Content.Outlook\R4F19B9Y\[biblio Globus.xls]rate code'!#REF!</xm:f>
          </x14:formula1>
          <xm:sqref>K1</xm:sqref>
        </x14:dataValidation>
        <x14:dataValidation type="list" allowBlank="1" showInputMessage="1" showErrorMessage="1" xr:uid="{89447EDD-0B17-4D97-BF55-8E1D1C8B5A10}">
          <x14:formula1>
            <xm:f>'C:\Users\Area-Credit2\AppData\Local\Microsoft\Windows\INetCache\Content.Outlook\R4F19B9Y\[biblio -DEC.xlsx]ROOM TYPE'!#REF!</xm:f>
          </x14:formula1>
          <xm:sqref>G1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3273-3413-4A92-89AB-D4F6CAE6D5FF}">
  <dimension ref="A1:Q6"/>
  <sheetViews>
    <sheetView workbookViewId="0">
      <selection activeCell="K32" sqref="K32"/>
    </sheetView>
  </sheetViews>
  <sheetFormatPr defaultRowHeight="12.75"/>
  <cols>
    <col min="1" max="2" width="11.28515625" bestFit="1" customWidth="1"/>
    <col min="3" max="3" width="10.140625" bestFit="1" customWidth="1"/>
    <col min="4" max="4" width="10.7109375" bestFit="1" customWidth="1"/>
    <col min="6" max="6" width="11.7109375" bestFit="1" customWidth="1"/>
    <col min="7" max="7" width="12.28515625" bestFit="1" customWidth="1"/>
    <col min="8" max="8" width="12" bestFit="1" customWidth="1"/>
    <col min="9" max="9" width="16.85546875" bestFit="1" customWidth="1"/>
    <col min="11" max="12" width="17.42578125" bestFit="1" customWidth="1"/>
    <col min="13" max="13" width="16.85546875" bestFit="1" customWidth="1"/>
    <col min="14" max="14" width="16.42578125" bestFit="1" customWidth="1"/>
  </cols>
  <sheetData>
    <row r="1" spans="1:17" ht="16.5" thickTop="1">
      <c r="A1" s="3" t="s">
        <v>5</v>
      </c>
      <c r="B1" s="4" t="s">
        <v>6</v>
      </c>
      <c r="C1" s="12" t="s">
        <v>14</v>
      </c>
      <c r="D1" s="12" t="s">
        <v>24</v>
      </c>
      <c r="E1" s="12" t="s">
        <v>25</v>
      </c>
      <c r="F1" s="12" t="s">
        <v>12</v>
      </c>
      <c r="G1" s="12" t="s">
        <v>13</v>
      </c>
      <c r="H1" s="12" t="s">
        <v>16</v>
      </c>
      <c r="I1" s="12" t="s">
        <v>15</v>
      </c>
      <c r="J1" s="12" t="s">
        <v>11</v>
      </c>
      <c r="K1" s="12" t="s">
        <v>23</v>
      </c>
      <c r="L1" s="10" t="s">
        <v>10</v>
      </c>
      <c r="M1" s="12" t="s">
        <v>17</v>
      </c>
      <c r="N1" s="12" t="s">
        <v>18</v>
      </c>
      <c r="O1" s="12" t="s">
        <v>21</v>
      </c>
      <c r="P1" s="12" t="s">
        <v>22</v>
      </c>
      <c r="Q1" t="s">
        <v>20</v>
      </c>
    </row>
    <row r="2" spans="1:17" s="15" customFormat="1" ht="14.25">
      <c r="A2" s="6">
        <v>46167</v>
      </c>
      <c r="B2" s="6">
        <v>46203</v>
      </c>
      <c r="C2" s="27">
        <v>67</v>
      </c>
      <c r="D2" s="27">
        <v>42</v>
      </c>
      <c r="E2" s="27">
        <v>39</v>
      </c>
      <c r="F2" s="7">
        <f t="shared" ref="F2:F4" si="0">+D2*2</f>
        <v>84</v>
      </c>
      <c r="G2" s="7">
        <f t="shared" ref="G2:G6" si="1">+E2*3</f>
        <v>117</v>
      </c>
      <c r="H2" s="27">
        <f t="shared" ref="H2:H5" si="2">+C2+7</f>
        <v>74</v>
      </c>
      <c r="I2" s="27">
        <f t="shared" ref="I2:I5" si="3">+F2+14</f>
        <v>98</v>
      </c>
      <c r="J2" s="8">
        <f t="shared" ref="J2:J6" si="4">+G2+21</f>
        <v>138</v>
      </c>
      <c r="K2" s="23">
        <f t="shared" ref="K2:K6" si="5">+(I2/2)*2.5</f>
        <v>122.5</v>
      </c>
      <c r="L2" s="23"/>
      <c r="M2" s="28">
        <f t="shared" ref="M2:M6" si="6">+F2+24</f>
        <v>108</v>
      </c>
      <c r="N2" s="23">
        <f t="shared" ref="N2:N6" si="7">+F2+24</f>
        <v>108</v>
      </c>
      <c r="O2" s="23">
        <f t="shared" ref="O2:O6" si="8">+H2+(I2/4)</f>
        <v>98.5</v>
      </c>
      <c r="P2" s="23">
        <f t="shared" ref="P2:P6" si="9">+G2+36</f>
        <v>153</v>
      </c>
      <c r="Q2" s="23">
        <f t="shared" ref="Q2:Q6" si="10">+C2+(F2/4)</f>
        <v>88</v>
      </c>
    </row>
    <row r="3" spans="1:17" ht="14.25">
      <c r="A3" s="6">
        <v>46204</v>
      </c>
      <c r="B3" s="6">
        <v>46234</v>
      </c>
      <c r="C3" s="7">
        <v>72</v>
      </c>
      <c r="D3" s="7">
        <f>90/2</f>
        <v>45</v>
      </c>
      <c r="E3" s="7">
        <f>126/3</f>
        <v>42</v>
      </c>
      <c r="F3" s="7">
        <f t="shared" si="0"/>
        <v>90</v>
      </c>
      <c r="G3" s="7">
        <f t="shared" si="1"/>
        <v>126</v>
      </c>
      <c r="H3" s="7">
        <f t="shared" si="2"/>
        <v>79</v>
      </c>
      <c r="I3" s="7">
        <f t="shared" si="3"/>
        <v>104</v>
      </c>
      <c r="J3" s="8">
        <f t="shared" si="4"/>
        <v>147</v>
      </c>
      <c r="K3" s="23">
        <f t="shared" si="5"/>
        <v>130</v>
      </c>
      <c r="L3" s="23"/>
      <c r="M3" s="24">
        <f t="shared" si="6"/>
        <v>114</v>
      </c>
      <c r="N3" s="23">
        <f t="shared" si="7"/>
        <v>114</v>
      </c>
      <c r="O3" s="23">
        <f t="shared" si="8"/>
        <v>105</v>
      </c>
      <c r="P3" s="23">
        <f t="shared" si="9"/>
        <v>162</v>
      </c>
      <c r="Q3" s="23">
        <f t="shared" si="10"/>
        <v>94.5</v>
      </c>
    </row>
    <row r="4" spans="1:17" ht="14.25">
      <c r="A4" s="6">
        <v>46235</v>
      </c>
      <c r="B4" s="6">
        <v>46326</v>
      </c>
      <c r="C4" s="7">
        <v>80</v>
      </c>
      <c r="D4" s="7">
        <v>50</v>
      </c>
      <c r="E4" s="7">
        <f>141/3</f>
        <v>47</v>
      </c>
      <c r="F4" s="7">
        <f t="shared" si="0"/>
        <v>100</v>
      </c>
      <c r="G4" s="7">
        <f t="shared" si="1"/>
        <v>141</v>
      </c>
      <c r="H4" s="7">
        <f t="shared" si="2"/>
        <v>87</v>
      </c>
      <c r="I4" s="7">
        <f t="shared" si="3"/>
        <v>114</v>
      </c>
      <c r="J4" s="8">
        <f t="shared" si="4"/>
        <v>162</v>
      </c>
      <c r="K4" s="23">
        <f t="shared" si="5"/>
        <v>142.5</v>
      </c>
      <c r="L4" s="23"/>
      <c r="M4" s="24">
        <f t="shared" si="6"/>
        <v>124</v>
      </c>
      <c r="N4" s="23">
        <f t="shared" si="7"/>
        <v>124</v>
      </c>
      <c r="O4" s="23">
        <f t="shared" si="8"/>
        <v>115.5</v>
      </c>
      <c r="P4" s="23">
        <f t="shared" si="9"/>
        <v>177</v>
      </c>
      <c r="Q4" s="23">
        <f t="shared" si="10"/>
        <v>105</v>
      </c>
    </row>
    <row r="5" spans="1:17" ht="14.25">
      <c r="A5" s="6"/>
      <c r="B5" s="6"/>
      <c r="C5" s="7"/>
      <c r="D5" s="7"/>
      <c r="E5" s="7"/>
      <c r="F5" s="7"/>
      <c r="G5" s="7">
        <f t="shared" si="1"/>
        <v>0</v>
      </c>
      <c r="H5" s="7">
        <f t="shared" si="2"/>
        <v>7</v>
      </c>
      <c r="I5" s="7">
        <f t="shared" si="3"/>
        <v>14</v>
      </c>
      <c r="J5" s="8">
        <f t="shared" si="4"/>
        <v>21</v>
      </c>
      <c r="K5" s="23">
        <f t="shared" si="5"/>
        <v>17.5</v>
      </c>
      <c r="L5" s="23"/>
      <c r="M5" s="24">
        <f t="shared" si="6"/>
        <v>24</v>
      </c>
      <c r="N5" s="23">
        <f t="shared" si="7"/>
        <v>24</v>
      </c>
      <c r="O5" s="23">
        <f t="shared" si="8"/>
        <v>10.5</v>
      </c>
      <c r="P5" s="23">
        <f t="shared" si="9"/>
        <v>36</v>
      </c>
      <c r="Q5" s="23">
        <f t="shared" si="10"/>
        <v>0</v>
      </c>
    </row>
    <row r="6" spans="1:17" ht="14.25">
      <c r="A6" s="6"/>
      <c r="B6" s="6"/>
      <c r="C6" s="7"/>
      <c r="D6" s="7"/>
      <c r="E6" s="7"/>
      <c r="F6" s="7"/>
      <c r="G6" s="7">
        <f t="shared" si="1"/>
        <v>0</v>
      </c>
      <c r="H6" s="7">
        <f>+C6+7</f>
        <v>7</v>
      </c>
      <c r="I6" s="7">
        <f>+F6+14</f>
        <v>14</v>
      </c>
      <c r="J6" s="8">
        <f t="shared" si="4"/>
        <v>21</v>
      </c>
      <c r="K6" s="25">
        <f t="shared" si="5"/>
        <v>17.5</v>
      </c>
      <c r="L6" s="25"/>
      <c r="M6" s="26">
        <f t="shared" si="6"/>
        <v>24</v>
      </c>
      <c r="N6" s="25">
        <f t="shared" si="7"/>
        <v>24</v>
      </c>
      <c r="O6" s="25">
        <f t="shared" si="8"/>
        <v>10.5</v>
      </c>
      <c r="P6" s="25">
        <f t="shared" si="9"/>
        <v>36</v>
      </c>
      <c r="Q6" s="25">
        <f t="shared" si="10"/>
        <v>0</v>
      </c>
    </row>
  </sheetData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D671FA-265C-459B-B886-BC244665187B}">
          <x14:formula1>
            <xm:f>'C:\Users\Area-Credit2\AppData\Local\Microsoft\Windows\INetCache\Content.Outlook\R4F19B9Y\[biblio -DEC.xlsx]ROOM TYPE'!#REF!</xm:f>
          </x14:formula1>
          <xm:sqref>G1</xm:sqref>
        </x14:dataValidation>
        <x14:dataValidation type="list" allowBlank="1" showInputMessage="1" showErrorMessage="1" xr:uid="{A83B373C-75A9-47FB-961E-2AE76B5AFC66}">
          <x14:formula1>
            <xm:f>'C:\Users\Area-Credit2\AppData\Local\Microsoft\Windows\INetCache\Content.Outlook\R4F19B9Y\[biblio Globus.xls]rate code'!#REF!</xm:f>
          </x14:formula1>
          <xm:sqref>K1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statment</vt:lpstr>
      <vt:lpstr>contract</vt:lpstr>
      <vt:lpstr>S.P.O from 15.04 to 29.04</vt:lpstr>
      <vt:lpstr>S.P.O from 30.04 to 24.05</vt:lpstr>
      <vt:lpstr>S.P.O from 25.05 to 31.08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creditg</dc:creator>
  <cp:lastModifiedBy>Area-Credit2</cp:lastModifiedBy>
  <cp:lastPrinted>2022-10-27T07:02:22Z</cp:lastPrinted>
  <dcterms:created xsi:type="dcterms:W3CDTF">2016-10-13T07:40:59Z</dcterms:created>
  <dcterms:modified xsi:type="dcterms:W3CDTF">2026-05-29T15:19:06Z</dcterms:modified>
</cp:coreProperties>
</file>