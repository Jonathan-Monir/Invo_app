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32B0042B-FC7E-4E43-8EDC-B73FE3A4F5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22" r:id="rId1"/>
    <sheet name="contract" sheetId="23" r:id="rId2"/>
    <sheet name="spo 20.12 to 31.12" sheetId="36" r:id="rId3"/>
    <sheet name="spo 01.01 to 28.01" sheetId="37" r:id="rId4"/>
    <sheet name="spo 29.01 to 15.03" sheetId="38" r:id="rId5"/>
    <sheet name="spo 16.03 to 31.10" sheetId="42" r:id="rId6"/>
  </sheets>
  <externalReferences>
    <externalReference r:id="rId7"/>
    <externalReference r:id="rId8"/>
    <externalReference r:id="rId9"/>
  </externalReferences>
  <definedNames>
    <definedName name="_xlnm._FilterDatabase" localSheetId="0" hidden="1">statment!$A$1:$I$12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2" l="1"/>
  <c r="G22" i="22"/>
  <c r="I22" i="22" s="1"/>
  <c r="G21" i="22"/>
  <c r="I21" i="22" s="1"/>
  <c r="G20" i="22"/>
  <c r="I20" i="22" s="1"/>
  <c r="G19" i="22"/>
  <c r="I19" i="22" s="1"/>
  <c r="G18" i="22"/>
  <c r="I18" i="22" s="1"/>
  <c r="I17" i="22"/>
  <c r="G17" i="22"/>
  <c r="G16" i="22"/>
  <c r="I16" i="22" s="1"/>
  <c r="G15" i="22"/>
  <c r="I15" i="22" s="1"/>
  <c r="G14" i="22"/>
  <c r="I14" i="22" s="1"/>
  <c r="G13" i="22"/>
  <c r="I13" i="22" s="1"/>
  <c r="G12" i="22"/>
  <c r="I12" i="22" s="1"/>
  <c r="G11" i="22"/>
  <c r="I11" i="22" s="1"/>
  <c r="G10" i="22"/>
  <c r="I10" i="22" s="1"/>
  <c r="G9" i="22"/>
  <c r="I9" i="22" s="1"/>
  <c r="I8" i="22"/>
  <c r="G8" i="22"/>
  <c r="I7" i="22"/>
  <c r="G7" i="22"/>
  <c r="I6" i="22"/>
  <c r="G6" i="22"/>
  <c r="I5" i="22"/>
  <c r="G5" i="22"/>
  <c r="C5" i="22" a="1"/>
  <c r="C5" i="22" s="1"/>
  <c r="I4" i="22"/>
  <c r="G4" i="22"/>
  <c r="I3" i="22"/>
  <c r="G3" i="22"/>
  <c r="G2" i="22"/>
  <c r="I2" i="22" s="1"/>
  <c r="N3" i="42"/>
  <c r="M3" i="42"/>
  <c r="L3" i="42"/>
  <c r="J3" i="42"/>
  <c r="I3" i="42"/>
  <c r="H3" i="42"/>
  <c r="G3" i="42"/>
  <c r="E3" i="42"/>
  <c r="D3" i="42"/>
  <c r="N2" i="42"/>
  <c r="M2" i="42"/>
  <c r="L2" i="42"/>
  <c r="J2" i="42"/>
  <c r="I2" i="42"/>
  <c r="H2" i="42"/>
  <c r="G2" i="42"/>
  <c r="E2" i="42"/>
  <c r="D2" i="42"/>
  <c r="N4" i="42"/>
  <c r="M4" i="42"/>
  <c r="L4" i="42"/>
  <c r="J4" i="42"/>
  <c r="I4" i="42"/>
  <c r="H4" i="42"/>
  <c r="G4" i="42"/>
  <c r="E4" i="42"/>
  <c r="D4" i="42"/>
  <c r="N26" i="23"/>
  <c r="M26" i="23"/>
  <c r="L26" i="23"/>
  <c r="H26" i="23"/>
  <c r="G26" i="23"/>
  <c r="J26" i="23" s="1"/>
  <c r="E26" i="23"/>
  <c r="D26" i="23"/>
  <c r="N25" i="23"/>
  <c r="M25" i="23"/>
  <c r="L25" i="23"/>
  <c r="H25" i="23"/>
  <c r="G25" i="23"/>
  <c r="J25" i="23" s="1"/>
  <c r="E25" i="23"/>
  <c r="D25" i="23"/>
  <c r="N24" i="23"/>
  <c r="M24" i="23"/>
  <c r="L24" i="23"/>
  <c r="H24" i="23"/>
  <c r="G24" i="23"/>
  <c r="I24" i="23" s="1"/>
  <c r="E24" i="23"/>
  <c r="D24" i="23"/>
  <c r="N23" i="23"/>
  <c r="M23" i="23"/>
  <c r="L23" i="23"/>
  <c r="H23" i="23"/>
  <c r="G23" i="23"/>
  <c r="I23" i="23" s="1"/>
  <c r="E23" i="23"/>
  <c r="D23" i="23"/>
  <c r="N22" i="23"/>
  <c r="M22" i="23"/>
  <c r="L22" i="23"/>
  <c r="H22" i="23"/>
  <c r="G22" i="23"/>
  <c r="J22" i="23" s="1"/>
  <c r="E22" i="23"/>
  <c r="D22" i="23"/>
  <c r="N21" i="23"/>
  <c r="M21" i="23"/>
  <c r="L21" i="23"/>
  <c r="H21" i="23"/>
  <c r="G21" i="23"/>
  <c r="J21" i="23" s="1"/>
  <c r="E21" i="23"/>
  <c r="D21" i="23"/>
  <c r="N10" i="42"/>
  <c r="M10" i="42"/>
  <c r="L10" i="42"/>
  <c r="J10" i="42"/>
  <c r="I10" i="42"/>
  <c r="H10" i="42"/>
  <c r="G10" i="42"/>
  <c r="E10" i="42"/>
  <c r="D10" i="42"/>
  <c r="N9" i="42"/>
  <c r="M9" i="42"/>
  <c r="L9" i="42"/>
  <c r="J9" i="42"/>
  <c r="I9" i="42"/>
  <c r="H9" i="42"/>
  <c r="G9" i="42"/>
  <c r="E9" i="42"/>
  <c r="D9" i="42"/>
  <c r="N8" i="42"/>
  <c r="M8" i="42"/>
  <c r="L8" i="42"/>
  <c r="J8" i="42"/>
  <c r="I8" i="42"/>
  <c r="H8" i="42"/>
  <c r="G8" i="42"/>
  <c r="E8" i="42"/>
  <c r="D8" i="42"/>
  <c r="N7" i="42"/>
  <c r="M7" i="42"/>
  <c r="L7" i="42"/>
  <c r="J7" i="42"/>
  <c r="I7" i="42"/>
  <c r="H7" i="42"/>
  <c r="G7" i="42"/>
  <c r="E7" i="42"/>
  <c r="D7" i="42"/>
  <c r="N6" i="42"/>
  <c r="M6" i="42"/>
  <c r="L6" i="42"/>
  <c r="J6" i="42"/>
  <c r="I6" i="42"/>
  <c r="H6" i="42"/>
  <c r="G6" i="42"/>
  <c r="E6" i="42"/>
  <c r="D6" i="42"/>
  <c r="N5" i="42"/>
  <c r="M5" i="42"/>
  <c r="L5" i="42"/>
  <c r="J5" i="42"/>
  <c r="I5" i="42"/>
  <c r="H5" i="42"/>
  <c r="G5" i="42"/>
  <c r="E5" i="42"/>
  <c r="D5" i="42"/>
  <c r="N11" i="38"/>
  <c r="M11" i="38"/>
  <c r="L11" i="38"/>
  <c r="J11" i="38"/>
  <c r="I11" i="38"/>
  <c r="H11" i="38"/>
  <c r="G11" i="38"/>
  <c r="E11" i="38"/>
  <c r="D11" i="38"/>
  <c r="N10" i="38"/>
  <c r="M10" i="38"/>
  <c r="L10" i="38"/>
  <c r="J10" i="38"/>
  <c r="I10" i="38"/>
  <c r="H10" i="38"/>
  <c r="G10" i="38"/>
  <c r="E10" i="38"/>
  <c r="D10" i="38"/>
  <c r="N9" i="38"/>
  <c r="M9" i="38"/>
  <c r="L9" i="38"/>
  <c r="J9" i="38"/>
  <c r="I9" i="38"/>
  <c r="H9" i="38"/>
  <c r="G9" i="38"/>
  <c r="E9" i="38"/>
  <c r="D9" i="38"/>
  <c r="N8" i="38"/>
  <c r="M8" i="38"/>
  <c r="L8" i="38"/>
  <c r="J8" i="38"/>
  <c r="I8" i="38"/>
  <c r="H8" i="38"/>
  <c r="G8" i="38"/>
  <c r="E8" i="38"/>
  <c r="D8" i="38"/>
  <c r="N7" i="38"/>
  <c r="M7" i="38"/>
  <c r="L7" i="38"/>
  <c r="J7" i="38"/>
  <c r="I7" i="38"/>
  <c r="H7" i="38"/>
  <c r="G7" i="38"/>
  <c r="E7" i="38"/>
  <c r="D7" i="38"/>
  <c r="N6" i="38"/>
  <c r="M6" i="38"/>
  <c r="L6" i="38"/>
  <c r="J6" i="38"/>
  <c r="I6" i="38"/>
  <c r="H6" i="38"/>
  <c r="G6" i="38"/>
  <c r="E6" i="38"/>
  <c r="D6" i="38"/>
  <c r="N5" i="38"/>
  <c r="M5" i="38"/>
  <c r="L5" i="38"/>
  <c r="J5" i="38"/>
  <c r="I5" i="38"/>
  <c r="H5" i="38"/>
  <c r="G5" i="38"/>
  <c r="E5" i="38"/>
  <c r="D5" i="38"/>
  <c r="N4" i="38"/>
  <c r="M4" i="38"/>
  <c r="L4" i="38"/>
  <c r="J4" i="38"/>
  <c r="I4" i="38"/>
  <c r="H4" i="38"/>
  <c r="G4" i="38"/>
  <c r="E4" i="38"/>
  <c r="D4" i="38"/>
  <c r="N3" i="38"/>
  <c r="M3" i="38"/>
  <c r="L3" i="38"/>
  <c r="J3" i="38"/>
  <c r="I3" i="38"/>
  <c r="H3" i="38"/>
  <c r="G3" i="38"/>
  <c r="E3" i="38"/>
  <c r="D3" i="38"/>
  <c r="N2" i="38"/>
  <c r="M2" i="38"/>
  <c r="L2" i="38"/>
  <c r="J2" i="38"/>
  <c r="I2" i="38"/>
  <c r="H2" i="38"/>
  <c r="G2" i="38"/>
  <c r="E2" i="38"/>
  <c r="D2" i="38"/>
  <c r="N5" i="37"/>
  <c r="M5" i="37"/>
  <c r="L5" i="37"/>
  <c r="J5" i="37"/>
  <c r="I5" i="37"/>
  <c r="H5" i="37"/>
  <c r="G5" i="37"/>
  <c r="E5" i="37"/>
  <c r="D5" i="37"/>
  <c r="N4" i="37"/>
  <c r="M4" i="37"/>
  <c r="L4" i="37"/>
  <c r="J4" i="37"/>
  <c r="I4" i="37"/>
  <c r="H4" i="37"/>
  <c r="G4" i="37"/>
  <c r="E4" i="37"/>
  <c r="D4" i="37"/>
  <c r="N3" i="37"/>
  <c r="M3" i="37"/>
  <c r="L3" i="37"/>
  <c r="J3" i="37"/>
  <c r="I3" i="37"/>
  <c r="H3" i="37"/>
  <c r="G3" i="37"/>
  <c r="E3" i="37"/>
  <c r="D3" i="37"/>
  <c r="N2" i="37"/>
  <c r="M2" i="37"/>
  <c r="L2" i="37"/>
  <c r="J2" i="37"/>
  <c r="I2" i="37"/>
  <c r="H2" i="37"/>
  <c r="G2" i="37"/>
  <c r="E2" i="37"/>
  <c r="D2" i="37"/>
  <c r="N2" i="36"/>
  <c r="M2" i="36"/>
  <c r="L2" i="36"/>
  <c r="J2" i="36"/>
  <c r="I2" i="36"/>
  <c r="H2" i="36"/>
  <c r="G2" i="36"/>
  <c r="E2" i="36"/>
  <c r="D2" i="36"/>
  <c r="N5" i="36"/>
  <c r="M5" i="36"/>
  <c r="L5" i="36"/>
  <c r="J5" i="36"/>
  <c r="I5" i="36"/>
  <c r="H5" i="36"/>
  <c r="G5" i="36"/>
  <c r="E5" i="36"/>
  <c r="D5" i="36"/>
  <c r="N4" i="36"/>
  <c r="M4" i="36"/>
  <c r="L4" i="36"/>
  <c r="J4" i="36"/>
  <c r="I4" i="36"/>
  <c r="H4" i="36"/>
  <c r="G4" i="36"/>
  <c r="E4" i="36"/>
  <c r="D4" i="36"/>
  <c r="N3" i="36"/>
  <c r="M3" i="36"/>
  <c r="L3" i="36"/>
  <c r="J3" i="36"/>
  <c r="I3" i="36"/>
  <c r="H3" i="36"/>
  <c r="G3" i="36"/>
  <c r="E3" i="36"/>
  <c r="D3" i="36"/>
  <c r="N20" i="23"/>
  <c r="M20" i="23"/>
  <c r="L20" i="23"/>
  <c r="H20" i="23"/>
  <c r="G20" i="23"/>
  <c r="I20" i="23" s="1"/>
  <c r="E20" i="23"/>
  <c r="D20" i="23"/>
  <c r="N19" i="23"/>
  <c r="M19" i="23"/>
  <c r="L19" i="23"/>
  <c r="H19" i="23"/>
  <c r="G19" i="23"/>
  <c r="I19" i="23" s="1"/>
  <c r="E19" i="23"/>
  <c r="D19" i="23"/>
  <c r="N18" i="23"/>
  <c r="M18" i="23"/>
  <c r="L18" i="23"/>
  <c r="H18" i="23"/>
  <c r="G18" i="23"/>
  <c r="I18" i="23" s="1"/>
  <c r="E18" i="23"/>
  <c r="D18" i="23"/>
  <c r="N17" i="23"/>
  <c r="M17" i="23"/>
  <c r="L17" i="23"/>
  <c r="H17" i="23"/>
  <c r="G17" i="23"/>
  <c r="J17" i="23" s="1"/>
  <c r="E17" i="23"/>
  <c r="D17" i="23"/>
  <c r="N16" i="23"/>
  <c r="M16" i="23"/>
  <c r="L16" i="23"/>
  <c r="H16" i="23"/>
  <c r="G16" i="23"/>
  <c r="I16" i="23" s="1"/>
  <c r="E16" i="23"/>
  <c r="D16" i="23"/>
  <c r="N15" i="23"/>
  <c r="M15" i="23"/>
  <c r="L15" i="23"/>
  <c r="H15" i="23"/>
  <c r="G15" i="23"/>
  <c r="I15" i="23" s="1"/>
  <c r="E15" i="23"/>
  <c r="D15" i="23"/>
  <c r="I17" i="23" l="1"/>
  <c r="C6" i="22"/>
  <c r="I25" i="23"/>
  <c r="J24" i="23"/>
  <c r="J23" i="23"/>
  <c r="I21" i="23"/>
  <c r="I22" i="23"/>
  <c r="I26" i="23"/>
  <c r="J16" i="23"/>
  <c r="J20" i="23"/>
  <c r="J15" i="23"/>
  <c r="J19" i="23"/>
  <c r="J18" i="23"/>
  <c r="N9" i="23" l="1"/>
  <c r="N10" i="23"/>
  <c r="N11" i="23"/>
  <c r="N12" i="23"/>
  <c r="N13" i="23"/>
  <c r="N14" i="23"/>
  <c r="N8" i="23"/>
  <c r="M9" i="23"/>
  <c r="M10" i="23"/>
  <c r="M11" i="23"/>
  <c r="M12" i="23"/>
  <c r="M13" i="23"/>
  <c r="M14" i="23"/>
  <c r="M8" i="23"/>
  <c r="L9" i="23"/>
  <c r="L10" i="23"/>
  <c r="L11" i="23"/>
  <c r="L12" i="23"/>
  <c r="L13" i="23"/>
  <c r="L14" i="23"/>
  <c r="L8" i="23"/>
  <c r="J9" i="23"/>
  <c r="J10" i="23"/>
  <c r="J11" i="23"/>
  <c r="J8" i="23"/>
  <c r="I9" i="23"/>
  <c r="I10" i="23"/>
  <c r="I11" i="23"/>
  <c r="I12" i="23"/>
  <c r="I8" i="23"/>
  <c r="H9" i="23"/>
  <c r="H10" i="23"/>
  <c r="H11" i="23"/>
  <c r="H12" i="23"/>
  <c r="H13" i="23"/>
  <c r="H14" i="23"/>
  <c r="H8" i="23"/>
  <c r="G9" i="23"/>
  <c r="G10" i="23"/>
  <c r="G11" i="23"/>
  <c r="G12" i="23"/>
  <c r="J12" i="23" s="1"/>
  <c r="G13" i="23"/>
  <c r="I13" i="23" s="1"/>
  <c r="G14" i="23"/>
  <c r="I14" i="23" s="1"/>
  <c r="G8" i="23"/>
  <c r="E9" i="23"/>
  <c r="E10" i="23"/>
  <c r="E11" i="23"/>
  <c r="E12" i="23"/>
  <c r="E13" i="23"/>
  <c r="E14" i="23"/>
  <c r="E8" i="23"/>
  <c r="D9" i="23"/>
  <c r="D10" i="23"/>
  <c r="D11" i="23"/>
  <c r="D12" i="23"/>
  <c r="D13" i="23"/>
  <c r="D14" i="23"/>
  <c r="D8" i="23"/>
  <c r="J14" i="23" l="1"/>
  <c r="J13" i="23"/>
</calcChain>
</file>

<file path=xl/sharedStrings.xml><?xml version="1.0" encoding="utf-8"?>
<sst xmlns="http://schemas.openxmlformats.org/spreadsheetml/2006/main" count="106" uniqueCount="27">
  <si>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</si>
  <si>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</si>
  <si>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</si>
  <si>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</si>
  <si>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</si>
  <si>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</si>
  <si>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</si>
  <si>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</si>
  <si>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</si>
  <si>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</si>
  <si>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</si>
  <si>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d</t>
  </si>
  <si>
    <t>t</t>
  </si>
  <si>
    <t>SGL-SUP</t>
  </si>
  <si>
    <t>DBL-STD</t>
  </si>
  <si>
    <t>TPL-SUP</t>
  </si>
  <si>
    <t>SGL-STD</t>
  </si>
  <si>
    <t>DBL-SUP</t>
  </si>
  <si>
    <t>DBL-DLX</t>
  </si>
  <si>
    <t>SGL-DLX</t>
  </si>
  <si>
    <t>DBL-FAM</t>
  </si>
  <si>
    <t>TPL-DLX</t>
  </si>
  <si>
    <t>TPL-FAM</t>
  </si>
  <si>
    <t>50-52</t>
  </si>
  <si>
    <t>54-56</t>
  </si>
  <si>
    <t>40-42</t>
  </si>
  <si>
    <t>42-44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</si>
</sst>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6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sz val="12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rgb="FF080000"/>
      <name val="Arial"/>
      <family val="2"/>
    </font>
    <font>
      <sz val="10"/>
      <color rgb="FF00009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6" tint="0.59999389629810485"/>
        <bgColor rgb="FF92D05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5" tint="0.39997558519241921"/>
        <bgColor rgb="FF92D050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164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50">
    <xf numFmtId="0" fontId="0" fillId="0" borderId="0" xfId="0"/>
    <xf numFmtId="165" fontId="5" fillId="4" borderId="2" xfId="0" applyNumberFormat="1" applyFont="1" applyFill="1" applyBorder="1" applyAlignment="1">
      <alignment horizontal="center" vertical="center"/>
    </xf>
    <xf numFmtId="0" fontId="2" fillId="0" borderId="0" xfId="47"/>
    <xf numFmtId="0" fontId="3" fillId="4" borderId="1" xfId="47" applyFont="1" applyFill="1" applyBorder="1" applyAlignment="1">
      <alignment horizontal="center" vertical="center"/>
    </xf>
    <xf numFmtId="0" fontId="8" fillId="2" borderId="0" xfId="47" applyFont="1" applyFill="1"/>
    <xf numFmtId="0" fontId="3" fillId="2" borderId="1" xfId="47" applyFont="1" applyFill="1" applyBorder="1" applyAlignment="1">
      <alignment horizontal="center" vertical="center"/>
    </xf>
    <xf numFmtId="0" fontId="2" fillId="11" borderId="0" xfId="47" applyFill="1"/>
    <xf numFmtId="14" fontId="12" fillId="0" borderId="3" xfId="47" applyNumberFormat="1" applyFont="1" applyFill="1" applyBorder="1" applyAlignment="1">
      <alignment horizontal="center"/>
    </xf>
    <xf numFmtId="14" fontId="12" fillId="0" borderId="2" xfId="47" applyNumberFormat="1" applyFont="1" applyFill="1" applyBorder="1" applyAlignment="1">
      <alignment horizontal="center"/>
    </xf>
    <xf numFmtId="0" fontId="7" fillId="0" borderId="7" xfId="47" applyNumberFormat="1" applyFont="1" applyBorder="1" applyAlignment="1">
      <alignment horizontal="center" vertical="center"/>
    </xf>
    <xf numFmtId="0" fontId="2" fillId="0" borderId="8" xfId="47" applyNumberFormat="1" applyFont="1" applyBorder="1" applyAlignment="1"/>
    <xf numFmtId="0" fontId="13" fillId="3" borderId="9" xfId="47" applyNumberFormat="1" applyFont="1" applyFill="1" applyBorder="1" applyAlignment="1">
      <alignment horizontal="center"/>
    </xf>
    <xf numFmtId="0" fontId="13" fillId="12" borderId="9" xfId="47" applyNumberFormat="1" applyFont="1" applyFill="1" applyBorder="1" applyAlignment="1">
      <alignment horizontal="center"/>
    </xf>
    <xf numFmtId="14" fontId="7" fillId="0" borderId="5" xfId="47" applyNumberFormat="1" applyFont="1" applyBorder="1"/>
    <xf numFmtId="0" fontId="7" fillId="3" borderId="5" xfId="47" applyNumberFormat="1" applyFont="1" applyFill="1" applyBorder="1" applyAlignment="1">
      <alignment horizontal="center"/>
    </xf>
    <xf numFmtId="0" fontId="7" fillId="12" borderId="5" xfId="47" applyNumberFormat="1" applyFont="1" applyFill="1" applyBorder="1" applyAlignment="1">
      <alignment horizontal="center"/>
    </xf>
    <xf numFmtId="0" fontId="7" fillId="13" borderId="5" xfId="47" applyNumberFormat="1" applyFont="1" applyFill="1" applyBorder="1" applyAlignment="1">
      <alignment horizontal="center"/>
    </xf>
    <xf numFmtId="14" fontId="9" fillId="0" borderId="5" xfId="47" applyNumberFormat="1" applyFont="1" applyBorder="1"/>
    <xf numFmtId="14" fontId="9" fillId="0" borderId="6" xfId="47" applyNumberFormat="1" applyFont="1" applyBorder="1"/>
    <xf numFmtId="0" fontId="7" fillId="3" borderId="6" xfId="47" applyNumberFormat="1" applyFont="1" applyFill="1" applyBorder="1" applyAlignment="1">
      <alignment horizontal="center"/>
    </xf>
    <xf numFmtId="0" fontId="7" fillId="3" borderId="10" xfId="47" applyNumberFormat="1" applyFont="1" applyFill="1" applyBorder="1" applyAlignment="1">
      <alignment horizontal="center"/>
    </xf>
    <xf numFmtId="0" fontId="7" fillId="12" borderId="10" xfId="47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4" fontId="15" fillId="4" borderId="0" xfId="0" applyNumberFormat="1" applyFont="1" applyFill="1" applyAlignment="1">
      <alignment horizontal="center" vertical="center"/>
    </xf>
    <xf numFmtId="164" fontId="5" fillId="14" borderId="2" xfId="1" applyFont="1" applyFill="1" applyBorder="1" applyAlignment="1">
      <alignment horizontal="center" vertical="center"/>
    </xf>
    <xf numFmtId="0" fontId="2" fillId="2" borderId="0" xfId="47" applyFill="1"/>
    <xf numFmtId="16" fontId="2" fillId="0" borderId="0" xfId="47" applyNumberFormat="1"/>
    <xf numFmtId="14" fontId="9" fillId="0" borderId="11" xfId="47" applyNumberFormat="1" applyFont="1" applyBorder="1"/>
    <xf numFmtId="0" fontId="7" fillId="3" borderId="11" xfId="47" applyNumberFormat="1" applyFont="1" applyFill="1" applyBorder="1" applyAlignment="1">
      <alignment horizontal="center"/>
    </xf>
    <xf numFmtId="1" fontId="5" fillId="4" borderId="3" xfId="0" applyNumberFormat="1" applyFont="1" applyFill="1" applyBorder="1" applyAlignment="1">
      <alignment horizontal="center" vertical="center"/>
    </xf>
    <xf numFmtId="0" fontId="10" fillId="0" borderId="4" xfId="47" applyNumberFormat="1" applyFont="1" applyBorder="1" applyAlignment="1">
      <alignment horizontal="center" vertical="center"/>
    </xf>
    <xf numFmtId="0" fontId="11" fillId="0" borderId="4" xfId="47" applyNumberFormat="1" applyFont="1" applyBorder="1" applyAlignment="1">
      <alignment horizontal="center"/>
    </xf>
    <xf numFmtId="14" fontId="7" fillId="0" borderId="5" xfId="47" applyNumberFormat="1" applyFont="1" applyBorder="1" applyAlignment="1">
      <alignment horizontal="center"/>
    </xf>
    <xf numFmtId="0" fontId="7" fillId="6" borderId="5" xfId="47" applyNumberFormat="1" applyFont="1" applyFill="1" applyBorder="1" applyAlignment="1">
      <alignment horizontal="center"/>
    </xf>
    <xf numFmtId="0" fontId="7" fillId="5" borderId="5" xfId="47" applyNumberFormat="1" applyFont="1" applyFill="1" applyBorder="1" applyAlignment="1">
      <alignment horizontal="center"/>
    </xf>
    <xf numFmtId="0" fontId="7" fillId="9" borderId="5" xfId="47" applyNumberFormat="1" applyFont="1" applyFill="1" applyBorder="1" applyAlignment="1">
      <alignment horizontal="center"/>
    </xf>
    <xf numFmtId="0" fontId="9" fillId="10" borderId="5" xfId="47" applyFont="1" applyFill="1" applyBorder="1" applyAlignment="1">
      <alignment horizontal="center"/>
    </xf>
    <xf numFmtId="0" fontId="7" fillId="7" borderId="5" xfId="47" applyNumberFormat="1" applyFont="1" applyFill="1" applyBorder="1" applyAlignment="1">
      <alignment horizontal="center"/>
    </xf>
    <xf numFmtId="0" fontId="9" fillId="8" borderId="5" xfId="47" applyFont="1" applyFill="1" applyBorder="1" applyAlignment="1">
      <alignment horizontal="center"/>
    </xf>
    <xf numFmtId="165" fontId="5" fillId="4" borderId="3" xfId="0" applyNumberFormat="1" applyFont="1" applyFill="1" applyBorder="1" applyAlignment="1">
      <alignment horizontal="center" vertical="center"/>
    </xf>
    <xf numFmtId="0" fontId="14" fillId="4" borderId="2" xfId="52" applyFont="1" applyFill="1" applyBorder="1" applyAlignment="1">
      <alignment horizontal="center" vertical="center"/>
    </xf>
    <xf numFmtId="0" fontId="7" fillId="4" borderId="2" xfId="50" applyFont="1" applyFill="1" applyBorder="1" applyAlignment="1">
      <alignment horizontal="center" vertical="center"/>
    </xf>
    <xf numFmtId="164" fontId="5" fillId="4" borderId="3" xfId="1" applyFont="1" applyFill="1" applyBorder="1" applyAlignment="1">
      <alignment horizontal="right" vertical="center"/>
    </xf>
    <xf numFmtId="164" fontId="5" fillId="4" borderId="2" xfId="1" applyFont="1" applyFill="1" applyBorder="1" applyAlignment="1">
      <alignment horizontal="right" vertical="center"/>
    </xf>
    <xf numFmtId="164" fontId="5" fillId="14" borderId="3" xfId="1" applyFont="1" applyFill="1" applyBorder="1" applyAlignment="1">
      <alignment horizontal="center" vertical="center"/>
    </xf>
    <xf numFmtId="0" fontId="14" fillId="0" borderId="2" xfId="52" applyFont="1" applyBorder="1" applyAlignment="1">
      <alignment horizontal="center" vertical="center"/>
    </xf>
    <xf numFmtId="0" fontId="14" fillId="0" borderId="3" xfId="58" applyNumberFormat="1" applyFont="1" applyBorder="1" applyAlignment="1">
      <alignment horizontal="center"/>
    </xf>
    <xf numFmtId="0" fontId="14" fillId="0" borderId="2" xfId="58" applyNumberFormat="1" applyFont="1" applyBorder="1" applyAlignment="1">
      <alignment horizontal="center"/>
    </xf>
    <xf numFmtId="0" fontId="14" fillId="0" borderId="2" xfId="52" applyNumberFormat="1" applyFont="1" applyBorder="1" applyAlignment="1">
      <alignment horizontal="center"/>
    </xf>
    <xf numFmtId="164" fontId="5" fillId="14" borderId="12" xfId="1" applyFont="1" applyFill="1" applyBorder="1" applyAlignment="1">
      <alignment horizontal="center" vertical="center"/>
    </xf>
  </cellXfs>
  <cellStyles count="59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01" xfId="45" xr:uid="{00000000-0005-0000-0000-000005000000}"/>
    <cellStyle name="Normal 104" xfId="46" xr:uid="{00000000-0005-0000-0000-000006000000}"/>
    <cellStyle name="Normal 107" xfId="48" xr:uid="{00000000-0005-0000-0000-000007000000}"/>
    <cellStyle name="Normal 110" xfId="49" xr:uid="{00000000-0005-0000-0000-000008000000}"/>
    <cellStyle name="Normal 116" xfId="50" xr:uid="{00000000-0005-0000-0000-000009000000}"/>
    <cellStyle name="Normal 119" xfId="51" xr:uid="{00000000-0005-0000-0000-00000A000000}"/>
    <cellStyle name="Normal 123" xfId="53" xr:uid="{00000000-0005-0000-0000-00000B000000}"/>
    <cellStyle name="Normal 127" xfId="54" xr:uid="{00000000-0005-0000-0000-00000C000000}"/>
    <cellStyle name="Normal 130" xfId="55" xr:uid="{00000000-0005-0000-0000-00000D000000}"/>
    <cellStyle name="Normal 133" xfId="56" xr:uid="{00000000-0005-0000-0000-00000E000000}"/>
    <cellStyle name="Normal 136" xfId="57" xr:uid="{00000000-0005-0000-0000-00000F000000}"/>
    <cellStyle name="Normal 140" xfId="5" xr:uid="{00000000-0005-0000-0000-000010000000}"/>
    <cellStyle name="Normal 148" xfId="6" xr:uid="{00000000-0005-0000-0000-000011000000}"/>
    <cellStyle name="Normal 149" xfId="7" xr:uid="{00000000-0005-0000-0000-000012000000}"/>
    <cellStyle name="Normal 151" xfId="8" xr:uid="{00000000-0005-0000-0000-000013000000}"/>
    <cellStyle name="Normal 152" xfId="40" xr:uid="{00000000-0005-0000-0000-000014000000}"/>
    <cellStyle name="Normal 153" xfId="9" xr:uid="{00000000-0005-0000-0000-000015000000}"/>
    <cellStyle name="Normal 154" xfId="10" xr:uid="{00000000-0005-0000-0000-000016000000}"/>
    <cellStyle name="Normal 157" xfId="38" xr:uid="{00000000-0005-0000-0000-000017000000}"/>
    <cellStyle name="Normal 158" xfId="39" xr:uid="{00000000-0005-0000-0000-000018000000}"/>
    <cellStyle name="Normal 159" xfId="11" xr:uid="{00000000-0005-0000-0000-000019000000}"/>
    <cellStyle name="Normal 160" xfId="12" xr:uid="{00000000-0005-0000-0000-00001A000000}"/>
    <cellStyle name="Normal 162" xfId="13" xr:uid="{00000000-0005-0000-0000-00001B000000}"/>
    <cellStyle name="Normal 163" xfId="14" xr:uid="{00000000-0005-0000-0000-00001C000000}"/>
    <cellStyle name="Normal 165" xfId="15" xr:uid="{00000000-0005-0000-0000-00001D000000}"/>
    <cellStyle name="Normal 166" xfId="16" xr:uid="{00000000-0005-0000-0000-00001E000000}"/>
    <cellStyle name="Normal 19 2" xfId="17" xr:uid="{00000000-0005-0000-0000-00001F000000}"/>
    <cellStyle name="Normal 19 3" xfId="18" xr:uid="{00000000-0005-0000-0000-000020000000}"/>
    <cellStyle name="Normal 19 4" xfId="19" xr:uid="{00000000-0005-0000-0000-000021000000}"/>
    <cellStyle name="Normal 2" xfId="47" xr:uid="{00000000-0005-0000-0000-000022000000}"/>
    <cellStyle name="Normal 2 2" xfId="20" xr:uid="{00000000-0005-0000-0000-000023000000}"/>
    <cellStyle name="Normal 2 3" xfId="21" xr:uid="{00000000-0005-0000-0000-000024000000}"/>
    <cellStyle name="Normal 2 4" xfId="22" xr:uid="{00000000-0005-0000-0000-000025000000}"/>
    <cellStyle name="Normal 20 2" xfId="23" xr:uid="{00000000-0005-0000-0000-000026000000}"/>
    <cellStyle name="Normal 20 3" xfId="24" xr:uid="{00000000-0005-0000-0000-000027000000}"/>
    <cellStyle name="Normal 20 4" xfId="25" xr:uid="{00000000-0005-0000-0000-000028000000}"/>
    <cellStyle name="Normal 23 2" xfId="26" xr:uid="{00000000-0005-0000-0000-000029000000}"/>
    <cellStyle name="Normal 23 3" xfId="27" xr:uid="{00000000-0005-0000-0000-00002A000000}"/>
    <cellStyle name="Normal 23 4" xfId="28" xr:uid="{00000000-0005-0000-0000-00002B000000}"/>
    <cellStyle name="Normal 3" xfId="41" xr:uid="{00000000-0005-0000-0000-00002C000000}"/>
    <cellStyle name="Normal 37 2" xfId="29" xr:uid="{00000000-0005-0000-0000-00002D000000}"/>
    <cellStyle name="Normal 37 3" xfId="30" xr:uid="{00000000-0005-0000-0000-00002E000000}"/>
    <cellStyle name="Normal 37 4" xfId="31" xr:uid="{00000000-0005-0000-0000-00002F000000}"/>
    <cellStyle name="Normal 38 2" xfId="32" xr:uid="{00000000-0005-0000-0000-000030000000}"/>
    <cellStyle name="Normal 38 3" xfId="33" xr:uid="{00000000-0005-0000-0000-000031000000}"/>
    <cellStyle name="Normal 38 4" xfId="34" xr:uid="{00000000-0005-0000-0000-000032000000}"/>
    <cellStyle name="Normal 5" xfId="42" xr:uid="{00000000-0005-0000-0000-000033000000}"/>
    <cellStyle name="Normal 9 2" xfId="35" xr:uid="{00000000-0005-0000-0000-000034000000}"/>
    <cellStyle name="Normal 9 3" xfId="36" xr:uid="{00000000-0005-0000-0000-000035000000}"/>
    <cellStyle name="Normal 9 4" xfId="37" xr:uid="{00000000-0005-0000-0000-000036000000}"/>
    <cellStyle name="Normal 94" xfId="43" xr:uid="{00000000-0005-0000-0000-000037000000}"/>
    <cellStyle name="Normal 98" xfId="44" xr:uid="{00000000-0005-0000-0000-000038000000}"/>
    <cellStyle name="Normal_Biblio Globus" xfId="52" xr:uid="{00000000-0005-0000-0000-000039000000}"/>
    <cellStyle name="Normal_Biblio Globus_1" xfId="58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27</xdr:row>
      <xdr:rowOff>0</xdr:rowOff>
    </xdr:from>
    <xdr:to>
      <xdr:col>5</xdr:col>
      <xdr:colOff>714375</xdr:colOff>
      <xdr:row>33</xdr:row>
      <xdr:rowOff>123825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90975" y="4876800"/>
          <a:ext cx="3476625" cy="10953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933450</xdr:colOff>
      <xdr:row>37</xdr:row>
      <xdr:rowOff>123825</xdr:rowOff>
    </xdr:from>
    <xdr:to>
      <xdr:col>15</xdr:col>
      <xdr:colOff>400050</xdr:colOff>
      <xdr:row>49</xdr:row>
      <xdr:rowOff>9525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67700" y="5610225"/>
          <a:ext cx="6096000" cy="182880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847725</xdr:colOff>
      <xdr:row>53</xdr:row>
      <xdr:rowOff>142875</xdr:rowOff>
    </xdr:from>
    <xdr:to>
      <xdr:col>17</xdr:col>
      <xdr:colOff>200884</xdr:colOff>
      <xdr:row>65</xdr:row>
      <xdr:rowOff>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9725" y="7115175"/>
          <a:ext cx="6154009" cy="1800476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54</xdr:row>
      <xdr:rowOff>76200</xdr:rowOff>
    </xdr:from>
    <xdr:to>
      <xdr:col>8</xdr:col>
      <xdr:colOff>153172</xdr:colOff>
      <xdr:row>102</xdr:row>
      <xdr:rowOff>67759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9900" y="8315325"/>
          <a:ext cx="5525272" cy="77639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17</xdr:row>
      <xdr:rowOff>9525</xdr:rowOff>
    </xdr:from>
    <xdr:to>
      <xdr:col>12</xdr:col>
      <xdr:colOff>419619</xdr:colOff>
      <xdr:row>39</xdr:row>
      <xdr:rowOff>76707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0" y="3067050"/>
          <a:ext cx="3715269" cy="3629532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20</xdr:row>
      <xdr:rowOff>9525</xdr:rowOff>
    </xdr:from>
    <xdr:to>
      <xdr:col>7</xdr:col>
      <xdr:colOff>267237</xdr:colOff>
      <xdr:row>41</xdr:row>
      <xdr:rowOff>124316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4575" y="3552825"/>
          <a:ext cx="3848637" cy="35152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638175</xdr:colOff>
      <xdr:row>21</xdr:row>
      <xdr:rowOff>142875</xdr:rowOff>
    </xdr:from>
    <xdr:to>
      <xdr:col>13</xdr:col>
      <xdr:colOff>248187</xdr:colOff>
      <xdr:row>43</xdr:row>
      <xdr:rowOff>95741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3667125"/>
          <a:ext cx="3848637" cy="35152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7</xdr:col>
      <xdr:colOff>381527</xdr:colOff>
      <xdr:row>44</xdr:row>
      <xdr:rowOff>38603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5075" y="3686175"/>
          <a:ext cx="3772427" cy="36009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17</xdr:col>
      <xdr:colOff>601446</xdr:colOff>
      <xdr:row>14</xdr:row>
      <xdr:rowOff>57181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228850"/>
          <a:ext cx="9821646" cy="219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27</xdr:row>
      <xdr:rowOff>47625</xdr:rowOff>
    </xdr:from>
    <xdr:to>
      <xdr:col>7</xdr:col>
      <xdr:colOff>496085</xdr:colOff>
      <xdr:row>50</xdr:row>
      <xdr:rowOff>114829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3571875"/>
          <a:ext cx="5620535" cy="3791479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</xdr:row>
      <xdr:rowOff>0</xdr:rowOff>
    </xdr:from>
    <xdr:to>
      <xdr:col>13</xdr:col>
      <xdr:colOff>448202</xdr:colOff>
      <xdr:row>40</xdr:row>
      <xdr:rowOff>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58100" y="3152775"/>
          <a:ext cx="3772427" cy="36009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13</xdr:row>
      <xdr:rowOff>133350</xdr:rowOff>
    </xdr:from>
    <xdr:to>
      <xdr:col>11</xdr:col>
      <xdr:colOff>171800</xdr:colOff>
      <xdr:row>33</xdr:row>
      <xdr:rowOff>95697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2457450"/>
          <a:ext cx="2505425" cy="3200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7</xdr:col>
      <xdr:colOff>581824</xdr:colOff>
      <xdr:row>38</xdr:row>
      <xdr:rowOff>114813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2809875"/>
          <a:ext cx="5725324" cy="367716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17</xdr:col>
      <xdr:colOff>486302</xdr:colOff>
      <xdr:row>40</xdr:row>
      <xdr:rowOff>38603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34600" y="3133725"/>
          <a:ext cx="3772427" cy="36009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15</xdr:col>
      <xdr:colOff>258683</xdr:colOff>
      <xdr:row>44</xdr:row>
      <xdr:rowOff>66707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50" y="7181850"/>
          <a:ext cx="10802858" cy="2286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She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%20Globu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Sheet1!R17C8:R18C8" advise="1"/>
        </mc:Choice>
        <mc:Fallback>
          <oleItem name="!Sheet1!R17C8:R18C8" advise="1"/>
        </mc:Fallback>
      </mc:AlternateContent>
    </oleItems>
  </ol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.2023"/>
      <sheetName val="rate code"/>
      <sheetName val="tax 22.11"/>
      <sheetName val="tax 28.11"/>
      <sheetName val="tax 29.11"/>
      <sheetName val="Dec 2023"/>
      <sheetName val="tax 14.12"/>
      <sheetName val="tax 26.12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86" workbookViewId="0">
      <selection activeCell="N12" sqref="N12"/>
    </sheetView>
  </sheetViews>
  <sheetFormatPr defaultColWidth="9.109375" defaultRowHeight="13.2" x14ac:dyDescent="0.25"/>
  <cols>
    <col min="1" max="1" width="18.44140625" style="2" bestFit="1" customWidth="1"/>
    <col min="2" max="9" width="20.6640625" style="2" customWidth="1"/>
    <col min="10" max="16384" width="9.109375" style="2"/>
  </cols>
  <sheetData>
    <row r="1" spans="1:9" ht="18.600000000000001" thickTop="1" thickBot="1" x14ac:dyDescent="0.35">
      <c r="A1" s="4" t="s">
        <v>8</v>
      </c>
      <c r="B1" s="3" t="s">
        <v>9</v>
      </c>
      <c r="C1" s="3" t="s">
        <v>10</v>
      </c>
      <c r="D1" s="5" t="s">
        <v>1</v>
      </c>
      <c r="E1" s="5" t="s">
        <v>2</v>
      </c>
      <c r="F1" s="5" t="s">
        <v>3</v>
      </c>
      <c r="G1" s="3" t="s">
        <v>0</v>
      </c>
      <c r="H1" s="3" t="s">
        <v>7</v>
      </c>
      <c r="I1" s="5" t="s">
        <v>4</v>
      </c>
    </row>
    <row r="2" spans="1:9" s="6" customFormat="1" ht="14.4" thickTop="1" x14ac:dyDescent="0.25">
      <c r="A2" s="23">
        <v>45779</v>
      </c>
      <c r="B2" s="29">
        <v>116315312531</v>
      </c>
      <c r="C2" s="46">
        <v>152413</v>
      </c>
      <c r="D2" s="39">
        <v>45800</v>
      </c>
      <c r="E2" s="39">
        <v>45809</v>
      </c>
      <c r="F2" s="39" t="s">
        <v>16</v>
      </c>
      <c r="G2" s="29">
        <f t="shared" ref="G2:G4" si="0">+E2-D2</f>
        <v>9</v>
      </c>
      <c r="H2" s="42">
        <v>40</v>
      </c>
      <c r="I2" s="44">
        <f>+G2*H2</f>
        <v>360</v>
      </c>
    </row>
    <row r="3" spans="1:9" s="25" customFormat="1" ht="13.8" x14ac:dyDescent="0.25">
      <c r="A3" s="23">
        <v>45799</v>
      </c>
      <c r="B3" s="22">
        <v>116345318383</v>
      </c>
      <c r="C3" s="47">
        <v>152422</v>
      </c>
      <c r="D3" s="1">
        <v>45801</v>
      </c>
      <c r="E3" s="1">
        <v>45810</v>
      </c>
      <c r="F3" s="1" t="s">
        <v>14</v>
      </c>
      <c r="G3" s="22">
        <f t="shared" si="0"/>
        <v>9</v>
      </c>
      <c r="H3" s="43" t="s">
        <v>23</v>
      </c>
      <c r="I3" s="24">
        <f>8*50+1*52</f>
        <v>452</v>
      </c>
    </row>
    <row r="4" spans="1:9" ht="13.8" x14ac:dyDescent="0.25">
      <c r="A4" s="23">
        <v>45768</v>
      </c>
      <c r="B4" s="22">
        <v>116365302070</v>
      </c>
      <c r="C4" s="47">
        <v>152438</v>
      </c>
      <c r="D4" s="1">
        <v>45801</v>
      </c>
      <c r="E4" s="1">
        <v>45811</v>
      </c>
      <c r="F4" s="1" t="s">
        <v>17</v>
      </c>
      <c r="G4" s="22">
        <f t="shared" si="0"/>
        <v>10</v>
      </c>
      <c r="H4" s="43" t="s">
        <v>24</v>
      </c>
      <c r="I4" s="24">
        <f>8*54+2*56</f>
        <v>544</v>
      </c>
    </row>
    <row r="5" spans="1:9" ht="13.8" x14ac:dyDescent="0.25">
      <c r="A5" s="23">
        <v>45757</v>
      </c>
      <c r="B5" s="22">
        <v>116305309455</v>
      </c>
      <c r="C5" s="40" t="e">
        <f t="array" ref="C5:C6">[1]!'!Sheet1!R17C8:R18C8'</f>
        <v>#REF!</v>
      </c>
      <c r="D5" s="1">
        <v>45804</v>
      </c>
      <c r="E5" s="1">
        <v>45813</v>
      </c>
      <c r="F5" s="1" t="s">
        <v>16</v>
      </c>
      <c r="G5" s="22">
        <f>+E5-D5</f>
        <v>9</v>
      </c>
      <c r="H5" s="43" t="s">
        <v>25</v>
      </c>
      <c r="I5" s="24">
        <f>5*40+4*42</f>
        <v>368</v>
      </c>
    </row>
    <row r="6" spans="1:9" ht="13.8" x14ac:dyDescent="0.25">
      <c r="A6" s="23">
        <v>45757</v>
      </c>
      <c r="B6" s="22">
        <v>116305309905</v>
      </c>
      <c r="C6" s="41" t="e">
        <v>#REF!</v>
      </c>
      <c r="D6" s="1">
        <v>45804</v>
      </c>
      <c r="E6" s="1">
        <v>45813</v>
      </c>
      <c r="F6" s="1" t="s">
        <v>14</v>
      </c>
      <c r="G6" s="22">
        <f>+E6-D6</f>
        <v>9</v>
      </c>
      <c r="H6" s="43" t="s">
        <v>23</v>
      </c>
      <c r="I6" s="24">
        <f>5*50+4*52</f>
        <v>458</v>
      </c>
    </row>
    <row r="7" spans="1:9" ht="13.8" x14ac:dyDescent="0.25">
      <c r="A7" s="23">
        <v>45757</v>
      </c>
      <c r="B7" s="22">
        <v>116395309188</v>
      </c>
      <c r="C7" s="41">
        <v>152573</v>
      </c>
      <c r="D7" s="1">
        <v>45808</v>
      </c>
      <c r="E7" s="1">
        <v>45815</v>
      </c>
      <c r="F7" s="1" t="s">
        <v>14</v>
      </c>
      <c r="G7" s="22">
        <f t="shared" ref="G7:G22" si="1">+E7-D7</f>
        <v>7</v>
      </c>
      <c r="H7" s="43" t="s">
        <v>23</v>
      </c>
      <c r="I7" s="24">
        <f>1*50+6*52</f>
        <v>362</v>
      </c>
    </row>
    <row r="8" spans="1:9" ht="13.8" x14ac:dyDescent="0.25">
      <c r="A8" s="23">
        <v>45762</v>
      </c>
      <c r="B8" s="22">
        <v>115355300597</v>
      </c>
      <c r="C8" s="41">
        <v>152642</v>
      </c>
      <c r="D8" s="1">
        <v>45802</v>
      </c>
      <c r="E8" s="1">
        <v>45816</v>
      </c>
      <c r="F8" s="1" t="s">
        <v>13</v>
      </c>
      <c r="G8" s="22">
        <f t="shared" si="1"/>
        <v>14</v>
      </c>
      <c r="H8" s="43" t="s">
        <v>26</v>
      </c>
      <c r="I8" s="24">
        <f>7*42+7*44</f>
        <v>602</v>
      </c>
    </row>
    <row r="9" spans="1:9" ht="13.8" x14ac:dyDescent="0.25">
      <c r="A9" s="23">
        <v>45808</v>
      </c>
      <c r="B9" s="22">
        <v>115315350727</v>
      </c>
      <c r="C9" s="45">
        <v>152643</v>
      </c>
      <c r="D9" s="1">
        <v>45809</v>
      </c>
      <c r="E9" s="1">
        <v>45816</v>
      </c>
      <c r="F9" s="1" t="s">
        <v>14</v>
      </c>
      <c r="G9" s="22">
        <f>+E9-D9</f>
        <v>7</v>
      </c>
      <c r="H9" s="43">
        <v>52</v>
      </c>
      <c r="I9" s="24">
        <f t="shared" ref="I9:I22" si="2">+G9*H9</f>
        <v>364</v>
      </c>
    </row>
    <row r="10" spans="1:9" ht="13.8" x14ac:dyDescent="0.25">
      <c r="A10" s="23">
        <v>45806</v>
      </c>
      <c r="B10" s="22">
        <v>116385360195</v>
      </c>
      <c r="C10" s="41">
        <v>152688</v>
      </c>
      <c r="D10" s="1">
        <v>45810</v>
      </c>
      <c r="E10" s="1">
        <v>45817</v>
      </c>
      <c r="F10" s="1" t="s">
        <v>22</v>
      </c>
      <c r="G10" s="22">
        <f t="shared" si="1"/>
        <v>7</v>
      </c>
      <c r="H10" s="43">
        <v>102</v>
      </c>
      <c r="I10" s="24">
        <f t="shared" si="2"/>
        <v>714</v>
      </c>
    </row>
    <row r="11" spans="1:9" ht="13.8" x14ac:dyDescent="0.25">
      <c r="A11" s="23">
        <v>45806</v>
      </c>
      <c r="B11" s="22">
        <v>116375362037</v>
      </c>
      <c r="C11" s="41">
        <v>152750</v>
      </c>
      <c r="D11" s="1">
        <v>45810</v>
      </c>
      <c r="E11" s="1">
        <v>45819</v>
      </c>
      <c r="F11" s="1" t="s">
        <v>19</v>
      </c>
      <c r="G11" s="22">
        <f t="shared" si="1"/>
        <v>9</v>
      </c>
      <c r="H11" s="43">
        <v>47</v>
      </c>
      <c r="I11" s="24">
        <f t="shared" si="2"/>
        <v>423</v>
      </c>
    </row>
    <row r="12" spans="1:9" ht="13.8" x14ac:dyDescent="0.25">
      <c r="A12" s="23">
        <v>45805</v>
      </c>
      <c r="B12" s="22">
        <v>116345361617</v>
      </c>
      <c r="C12" s="48">
        <v>152795</v>
      </c>
      <c r="D12" s="1">
        <v>45813</v>
      </c>
      <c r="E12" s="1">
        <v>45820</v>
      </c>
      <c r="F12" s="1" t="s">
        <v>14</v>
      </c>
      <c r="G12" s="22">
        <f t="shared" si="1"/>
        <v>7</v>
      </c>
      <c r="H12" s="43">
        <v>52</v>
      </c>
      <c r="I12" s="24">
        <f t="shared" si="2"/>
        <v>364</v>
      </c>
    </row>
    <row r="13" spans="1:9" ht="13.8" x14ac:dyDescent="0.25">
      <c r="A13" s="23">
        <v>45806</v>
      </c>
      <c r="B13" s="22">
        <v>116395360196</v>
      </c>
      <c r="C13" s="41">
        <v>152875</v>
      </c>
      <c r="D13" s="1">
        <v>45816</v>
      </c>
      <c r="E13" s="1">
        <v>45822</v>
      </c>
      <c r="F13" s="1" t="s">
        <v>17</v>
      </c>
      <c r="G13" s="22">
        <f t="shared" si="1"/>
        <v>6</v>
      </c>
      <c r="H13" s="43">
        <v>78</v>
      </c>
      <c r="I13" s="24">
        <f t="shared" si="2"/>
        <v>468</v>
      </c>
    </row>
    <row r="14" spans="1:9" ht="13.8" x14ac:dyDescent="0.25">
      <c r="A14" s="23">
        <v>45783</v>
      </c>
      <c r="B14" s="22">
        <v>116335356322</v>
      </c>
      <c r="C14" s="41">
        <v>152988</v>
      </c>
      <c r="D14" s="1">
        <v>45817</v>
      </c>
      <c r="E14" s="1">
        <v>45826</v>
      </c>
      <c r="F14" s="1" t="s">
        <v>15</v>
      </c>
      <c r="G14" s="22">
        <f t="shared" si="1"/>
        <v>9</v>
      </c>
      <c r="H14" s="43">
        <v>78</v>
      </c>
      <c r="I14" s="24">
        <f t="shared" si="2"/>
        <v>702</v>
      </c>
    </row>
    <row r="15" spans="1:9" ht="13.8" x14ac:dyDescent="0.25">
      <c r="A15" s="23">
        <v>45808</v>
      </c>
      <c r="B15" s="22">
        <v>115315350581</v>
      </c>
      <c r="C15" s="41">
        <v>152989</v>
      </c>
      <c r="D15" s="1">
        <v>45818</v>
      </c>
      <c r="E15" s="1">
        <v>45826</v>
      </c>
      <c r="F15" s="1" t="s">
        <v>20</v>
      </c>
      <c r="G15" s="22">
        <f t="shared" si="1"/>
        <v>8</v>
      </c>
      <c r="H15" s="43">
        <v>72</v>
      </c>
      <c r="I15" s="24">
        <f t="shared" si="2"/>
        <v>576</v>
      </c>
    </row>
    <row r="16" spans="1:9" ht="13.8" x14ac:dyDescent="0.25">
      <c r="A16" s="23">
        <v>45781</v>
      </c>
      <c r="B16" s="22">
        <v>116335356100</v>
      </c>
      <c r="C16" s="41">
        <v>153023</v>
      </c>
      <c r="D16" s="1">
        <v>45818</v>
      </c>
      <c r="E16" s="1">
        <v>45827</v>
      </c>
      <c r="F16" s="1" t="s">
        <v>18</v>
      </c>
      <c r="G16" s="22">
        <f t="shared" si="1"/>
        <v>9</v>
      </c>
      <c r="H16" s="43">
        <v>62</v>
      </c>
      <c r="I16" s="24">
        <f>+G16*H16*2</f>
        <v>1116</v>
      </c>
    </row>
    <row r="17" spans="1:9" ht="13.8" x14ac:dyDescent="0.25">
      <c r="A17" s="23">
        <v>45781</v>
      </c>
      <c r="B17" s="22">
        <v>116335356100</v>
      </c>
      <c r="C17" s="41">
        <v>153023</v>
      </c>
      <c r="D17" s="1">
        <v>45818</v>
      </c>
      <c r="E17" s="1">
        <v>45827</v>
      </c>
      <c r="F17" s="1" t="s">
        <v>18</v>
      </c>
      <c r="G17" s="22">
        <f t="shared" si="1"/>
        <v>9</v>
      </c>
      <c r="H17" s="43">
        <v>62</v>
      </c>
      <c r="I17" s="24">
        <f>+G17*H17*2</f>
        <v>1116</v>
      </c>
    </row>
    <row r="18" spans="1:9" ht="13.8" x14ac:dyDescent="0.25">
      <c r="A18" s="23">
        <v>45815</v>
      </c>
      <c r="B18" s="22">
        <v>116305365277</v>
      </c>
      <c r="C18" s="41">
        <v>153024</v>
      </c>
      <c r="D18" s="1">
        <v>45818</v>
      </c>
      <c r="E18" s="1">
        <v>45827</v>
      </c>
      <c r="F18" s="1" t="s">
        <v>14</v>
      </c>
      <c r="G18" s="22">
        <f t="shared" si="1"/>
        <v>9</v>
      </c>
      <c r="H18" s="43">
        <v>52</v>
      </c>
      <c r="I18" s="24">
        <f t="shared" si="2"/>
        <v>468</v>
      </c>
    </row>
    <row r="19" spans="1:9" ht="13.8" x14ac:dyDescent="0.25">
      <c r="A19" s="23">
        <v>45793</v>
      </c>
      <c r="B19" s="22">
        <v>116355357628</v>
      </c>
      <c r="C19" s="41">
        <v>153180</v>
      </c>
      <c r="D19" s="1">
        <v>45816</v>
      </c>
      <c r="E19" s="1">
        <v>45830</v>
      </c>
      <c r="F19" s="1" t="s">
        <v>19</v>
      </c>
      <c r="G19" s="22">
        <f t="shared" si="1"/>
        <v>14</v>
      </c>
      <c r="H19" s="43">
        <v>47</v>
      </c>
      <c r="I19" s="49">
        <f t="shared" si="2"/>
        <v>658</v>
      </c>
    </row>
    <row r="20" spans="1:9" ht="13.8" x14ac:dyDescent="0.25">
      <c r="A20" s="23">
        <v>45819</v>
      </c>
      <c r="B20" s="22">
        <v>116325365446</v>
      </c>
      <c r="C20" s="41">
        <v>153248</v>
      </c>
      <c r="D20" s="1">
        <v>45825</v>
      </c>
      <c r="E20" s="1">
        <v>45832</v>
      </c>
      <c r="F20" s="1" t="s">
        <v>16</v>
      </c>
      <c r="G20" s="22">
        <f t="shared" si="1"/>
        <v>7</v>
      </c>
      <c r="H20" s="43">
        <v>42</v>
      </c>
      <c r="I20" s="24">
        <f t="shared" si="2"/>
        <v>294</v>
      </c>
    </row>
    <row r="21" spans="1:9" ht="13.8" x14ac:dyDescent="0.25">
      <c r="A21" s="23">
        <v>45781</v>
      </c>
      <c r="B21" s="22">
        <v>116395356632</v>
      </c>
      <c r="C21" s="41">
        <v>153309</v>
      </c>
      <c r="D21" s="1">
        <v>45827</v>
      </c>
      <c r="E21" s="1">
        <v>45834</v>
      </c>
      <c r="F21" s="1" t="s">
        <v>17</v>
      </c>
      <c r="G21" s="22">
        <f t="shared" si="1"/>
        <v>7</v>
      </c>
      <c r="H21" s="43">
        <v>56</v>
      </c>
      <c r="I21" s="24">
        <f t="shared" si="2"/>
        <v>392</v>
      </c>
    </row>
    <row r="22" spans="1:9" ht="13.8" x14ac:dyDescent="0.25">
      <c r="A22" s="23">
        <v>45822</v>
      </c>
      <c r="B22" s="22">
        <v>116395366495</v>
      </c>
      <c r="C22" s="41">
        <v>153310</v>
      </c>
      <c r="D22" s="1">
        <v>45827</v>
      </c>
      <c r="E22" s="1">
        <v>45834</v>
      </c>
      <c r="F22" s="1" t="s">
        <v>16</v>
      </c>
      <c r="G22" s="22">
        <f t="shared" si="1"/>
        <v>7</v>
      </c>
      <c r="H22" s="43">
        <v>42</v>
      </c>
      <c r="I22" s="24">
        <f t="shared" si="2"/>
        <v>294</v>
      </c>
    </row>
    <row r="33" spans="8:8" x14ac:dyDescent="0.25">
      <c r="H33" s="2">
        <f>558*2</f>
        <v>1116</v>
      </c>
    </row>
  </sheetData>
  <autoFilter ref="A1:I12" xr:uid="{00000000-0009-0000-0000-000000000000}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'C:\Users\Area-Credit2\AppData\Local\Microsoft\Windows\INetCache\Content.Outlook\R4F19B9Y\[biblio Globus.xls]rate code'!#REF!</xm:f>
          </x14:formula1>
          <xm:sqref>F2:F11</xm:sqref>
        </x14:dataValidation>
        <x14:dataValidation type="list" allowBlank="1" showInputMessage="1" showErrorMessage="1" xr:uid="{00000000-0002-0000-0000-000001000000}">
          <x14:formula1>
            <xm:f>'C:\Users\Area-Credit2\AppData\Local\Microsoft\Windows\INetCache\Content.Outlook\R4F19B9Y\[biblio  Globus (3).xls]rate code'!#REF!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>
      <selection activeCell="K27" sqref="K27"/>
    </sheetView>
  </sheetViews>
  <sheetFormatPr defaultColWidth="9.109375" defaultRowHeight="13.2" x14ac:dyDescent="0.25"/>
  <cols>
    <col min="1" max="11" width="15.6640625" style="2" customWidth="1"/>
    <col min="12" max="16384" width="9.109375" style="2"/>
  </cols>
  <sheetData>
    <row r="1" spans="1:14" ht="16.2" thickTop="1" x14ac:dyDescent="0.3">
      <c r="A1" s="9" t="s">
        <v>5</v>
      </c>
      <c r="B1" s="10" t="s">
        <v>6</v>
      </c>
      <c r="C1" s="7" t="s">
        <v>16</v>
      </c>
      <c r="D1" s="8" t="s">
        <v>13</v>
      </c>
      <c r="E1" s="11" t="s">
        <v>19</v>
      </c>
      <c r="F1" s="11" t="s">
        <v>11</v>
      </c>
      <c r="G1" s="7" t="s">
        <v>14</v>
      </c>
      <c r="H1" s="7" t="s">
        <v>17</v>
      </c>
      <c r="I1" s="8" t="s">
        <v>18</v>
      </c>
      <c r="J1" s="8" t="s">
        <v>20</v>
      </c>
      <c r="K1" s="12" t="s">
        <v>12</v>
      </c>
      <c r="L1" s="7" t="s">
        <v>15</v>
      </c>
      <c r="M1" s="7" t="s">
        <v>21</v>
      </c>
      <c r="N1" s="1" t="s">
        <v>22</v>
      </c>
    </row>
    <row r="2" spans="1:14" ht="13.8" x14ac:dyDescent="0.25">
      <c r="A2" s="13">
        <v>45200</v>
      </c>
      <c r="B2" s="13">
        <v>45230</v>
      </c>
      <c r="C2" s="14">
        <v>77</v>
      </c>
      <c r="D2" s="14">
        <v>79</v>
      </c>
      <c r="E2" s="14">
        <v>82</v>
      </c>
      <c r="F2" s="14">
        <v>48</v>
      </c>
      <c r="G2" s="14">
        <v>96</v>
      </c>
      <c r="H2" s="15">
        <v>100</v>
      </c>
      <c r="I2" s="15">
        <v>106</v>
      </c>
      <c r="J2" s="15">
        <v>116</v>
      </c>
      <c r="K2" s="15">
        <v>46</v>
      </c>
      <c r="L2" s="16">
        <v>144</v>
      </c>
      <c r="M2" s="16">
        <v>153</v>
      </c>
      <c r="N2" s="2">
        <v>168</v>
      </c>
    </row>
    <row r="3" spans="1:14" ht="13.8" x14ac:dyDescent="0.25">
      <c r="A3" s="17">
        <v>45231</v>
      </c>
      <c r="B3" s="17">
        <v>45245</v>
      </c>
      <c r="C3" s="14">
        <v>86</v>
      </c>
      <c r="D3" s="14">
        <v>88</v>
      </c>
      <c r="E3" s="14">
        <v>91</v>
      </c>
      <c r="F3" s="14">
        <v>54</v>
      </c>
      <c r="G3" s="14">
        <v>108</v>
      </c>
      <c r="H3" s="15">
        <v>112</v>
      </c>
      <c r="I3" s="15">
        <v>118</v>
      </c>
      <c r="J3" s="15">
        <v>128</v>
      </c>
      <c r="K3" s="15">
        <v>52</v>
      </c>
      <c r="L3" s="16">
        <v>162</v>
      </c>
      <c r="M3" s="16">
        <v>171</v>
      </c>
      <c r="N3" s="2">
        <v>186</v>
      </c>
    </row>
    <row r="4" spans="1:14" ht="13.8" x14ac:dyDescent="0.25">
      <c r="A4" s="17">
        <v>45246</v>
      </c>
      <c r="B4" s="17">
        <v>45288</v>
      </c>
      <c r="C4" s="14">
        <v>86</v>
      </c>
      <c r="D4" s="14">
        <v>88</v>
      </c>
      <c r="E4" s="14">
        <v>91</v>
      </c>
      <c r="F4" s="14">
        <v>54</v>
      </c>
      <c r="G4" s="14">
        <v>108</v>
      </c>
      <c r="H4" s="15">
        <v>112</v>
      </c>
      <c r="I4" s="15">
        <v>118</v>
      </c>
      <c r="J4" s="15">
        <v>128</v>
      </c>
      <c r="K4" s="15">
        <v>52</v>
      </c>
      <c r="L4" s="16">
        <v>162</v>
      </c>
      <c r="M4" s="16">
        <v>171</v>
      </c>
      <c r="N4" s="2">
        <v>186</v>
      </c>
    </row>
    <row r="5" spans="1:14" ht="13.8" x14ac:dyDescent="0.25">
      <c r="A5" s="17">
        <v>45289</v>
      </c>
      <c r="B5" s="17">
        <v>45301</v>
      </c>
      <c r="C5" s="14">
        <v>134</v>
      </c>
      <c r="D5" s="14">
        <v>136</v>
      </c>
      <c r="E5" s="14">
        <v>139</v>
      </c>
      <c r="F5" s="14">
        <v>84</v>
      </c>
      <c r="G5" s="14">
        <v>168</v>
      </c>
      <c r="H5" s="15">
        <v>172</v>
      </c>
      <c r="I5" s="15">
        <v>178</v>
      </c>
      <c r="J5" s="15">
        <v>188</v>
      </c>
      <c r="K5" s="15">
        <v>82</v>
      </c>
      <c r="L5" s="16">
        <v>252</v>
      </c>
      <c r="M5" s="16">
        <v>261</v>
      </c>
      <c r="N5" s="2">
        <v>276</v>
      </c>
    </row>
    <row r="6" spans="1:14" ht="13.8" x14ac:dyDescent="0.25">
      <c r="A6" s="17">
        <v>45302</v>
      </c>
      <c r="B6" s="17">
        <v>45337</v>
      </c>
      <c r="C6" s="14">
        <v>70</v>
      </c>
      <c r="D6" s="14">
        <v>72</v>
      </c>
      <c r="E6" s="14">
        <v>75</v>
      </c>
      <c r="F6" s="14">
        <v>44</v>
      </c>
      <c r="G6" s="14">
        <v>88</v>
      </c>
      <c r="H6" s="15">
        <v>92</v>
      </c>
      <c r="I6" s="15">
        <v>98</v>
      </c>
      <c r="J6" s="15">
        <v>108</v>
      </c>
      <c r="K6" s="15">
        <v>42</v>
      </c>
      <c r="L6" s="16">
        <v>132</v>
      </c>
      <c r="M6" s="16">
        <v>141</v>
      </c>
      <c r="N6" s="2">
        <v>156</v>
      </c>
    </row>
    <row r="7" spans="1:14" ht="14.4" thickBot="1" x14ac:dyDescent="0.3">
      <c r="A7" s="18">
        <v>45338</v>
      </c>
      <c r="B7" s="18">
        <v>45412</v>
      </c>
      <c r="C7" s="19">
        <v>82</v>
      </c>
      <c r="D7" s="14">
        <v>84</v>
      </c>
      <c r="E7" s="14">
        <v>87</v>
      </c>
      <c r="F7" s="20">
        <v>51</v>
      </c>
      <c r="G7" s="14">
        <v>102</v>
      </c>
      <c r="H7" s="15">
        <v>106</v>
      </c>
      <c r="I7" s="15">
        <v>112</v>
      </c>
      <c r="J7" s="15">
        <v>122</v>
      </c>
      <c r="K7" s="21">
        <v>49</v>
      </c>
      <c r="L7" s="16">
        <v>153</v>
      </c>
      <c r="M7" s="16">
        <v>162</v>
      </c>
      <c r="N7" s="2">
        <v>177</v>
      </c>
    </row>
    <row r="8" spans="1:14" ht="14.4" thickTop="1" x14ac:dyDescent="0.25">
      <c r="A8" s="17">
        <v>45413</v>
      </c>
      <c r="B8" s="17">
        <v>45427</v>
      </c>
      <c r="C8" s="14">
        <v>80</v>
      </c>
      <c r="D8" s="14">
        <f>+C8+2</f>
        <v>82</v>
      </c>
      <c r="E8" s="14">
        <f>+C8+5</f>
        <v>85</v>
      </c>
      <c r="F8" s="14">
        <v>50</v>
      </c>
      <c r="G8" s="14">
        <f>+F8*2</f>
        <v>100</v>
      </c>
      <c r="H8" s="15">
        <f>+(F8+2)*2</f>
        <v>104</v>
      </c>
      <c r="I8" s="15">
        <f>+G8+10</f>
        <v>110</v>
      </c>
      <c r="J8" s="15">
        <f>+G8+20</f>
        <v>120</v>
      </c>
      <c r="K8" s="15">
        <v>48</v>
      </c>
      <c r="L8" s="16">
        <f>+(K8+2)*3</f>
        <v>150</v>
      </c>
      <c r="M8" s="16">
        <f>+(K8+5)*3</f>
        <v>159</v>
      </c>
      <c r="N8" s="2">
        <f>+(K8+10)*3</f>
        <v>174</v>
      </c>
    </row>
    <row r="9" spans="1:14" ht="13.8" x14ac:dyDescent="0.25">
      <c r="A9" s="17">
        <v>45428</v>
      </c>
      <c r="B9" s="17">
        <v>45443</v>
      </c>
      <c r="C9" s="14">
        <v>62</v>
      </c>
      <c r="D9" s="14">
        <f t="shared" ref="D9:D14" si="0">+C9+2</f>
        <v>64</v>
      </c>
      <c r="E9" s="14">
        <f t="shared" ref="E9:E14" si="1">+C9+5</f>
        <v>67</v>
      </c>
      <c r="F9" s="14">
        <v>39</v>
      </c>
      <c r="G9" s="14">
        <f t="shared" ref="G9:G14" si="2">+F9*2</f>
        <v>78</v>
      </c>
      <c r="H9" s="15">
        <f t="shared" ref="H9:H14" si="3">+(F9+2)*2</f>
        <v>82</v>
      </c>
      <c r="I9" s="15">
        <f t="shared" ref="I9:I14" si="4">+G9+10</f>
        <v>88</v>
      </c>
      <c r="J9" s="15">
        <f t="shared" ref="J9:J14" si="5">+G9+20</f>
        <v>98</v>
      </c>
      <c r="K9" s="15">
        <v>37</v>
      </c>
      <c r="L9" s="16">
        <f t="shared" ref="L9:L14" si="6">+(K9+2)*3</f>
        <v>117</v>
      </c>
      <c r="M9" s="16">
        <f t="shared" ref="M9:M14" si="7">+(K9+5)*3</f>
        <v>126</v>
      </c>
      <c r="N9" s="2">
        <f t="shared" ref="N9:N14" si="8">+(K9+10)*3</f>
        <v>141</v>
      </c>
    </row>
    <row r="10" spans="1:14" ht="13.8" x14ac:dyDescent="0.25">
      <c r="A10" s="17">
        <v>45444</v>
      </c>
      <c r="B10" s="17">
        <v>45473</v>
      </c>
      <c r="C10" s="14">
        <v>66</v>
      </c>
      <c r="D10" s="14">
        <f t="shared" si="0"/>
        <v>68</v>
      </c>
      <c r="E10" s="14">
        <f t="shared" si="1"/>
        <v>71</v>
      </c>
      <c r="F10" s="14">
        <v>41</v>
      </c>
      <c r="G10" s="14">
        <f t="shared" si="2"/>
        <v>82</v>
      </c>
      <c r="H10" s="15">
        <f t="shared" si="3"/>
        <v>86</v>
      </c>
      <c r="I10" s="15">
        <f t="shared" si="4"/>
        <v>92</v>
      </c>
      <c r="J10" s="15">
        <f t="shared" si="5"/>
        <v>102</v>
      </c>
      <c r="K10" s="15">
        <v>39</v>
      </c>
      <c r="L10" s="16">
        <f t="shared" si="6"/>
        <v>123</v>
      </c>
      <c r="M10" s="16">
        <f t="shared" si="7"/>
        <v>132</v>
      </c>
      <c r="N10" s="2">
        <f t="shared" si="8"/>
        <v>147</v>
      </c>
    </row>
    <row r="11" spans="1:14" ht="13.8" x14ac:dyDescent="0.25">
      <c r="A11" s="17">
        <v>45474</v>
      </c>
      <c r="B11" s="17">
        <v>45504</v>
      </c>
      <c r="C11" s="14">
        <v>74</v>
      </c>
      <c r="D11" s="14">
        <f t="shared" si="0"/>
        <v>76</v>
      </c>
      <c r="E11" s="14">
        <f t="shared" si="1"/>
        <v>79</v>
      </c>
      <c r="F11" s="14">
        <v>46</v>
      </c>
      <c r="G11" s="14">
        <f t="shared" si="2"/>
        <v>92</v>
      </c>
      <c r="H11" s="15">
        <f t="shared" si="3"/>
        <v>96</v>
      </c>
      <c r="I11" s="15">
        <f t="shared" si="4"/>
        <v>102</v>
      </c>
      <c r="J11" s="15">
        <f t="shared" si="5"/>
        <v>112</v>
      </c>
      <c r="K11" s="15">
        <v>44</v>
      </c>
      <c r="L11" s="16">
        <f t="shared" si="6"/>
        <v>138</v>
      </c>
      <c r="M11" s="16">
        <f t="shared" si="7"/>
        <v>147</v>
      </c>
      <c r="N11" s="2">
        <f t="shared" si="8"/>
        <v>162</v>
      </c>
    </row>
    <row r="12" spans="1:14" ht="13.8" x14ac:dyDescent="0.25">
      <c r="A12" s="17">
        <v>45505</v>
      </c>
      <c r="B12" s="17">
        <v>45535</v>
      </c>
      <c r="C12" s="14">
        <v>82</v>
      </c>
      <c r="D12" s="14">
        <f t="shared" si="0"/>
        <v>84</v>
      </c>
      <c r="E12" s="14">
        <f t="shared" si="1"/>
        <v>87</v>
      </c>
      <c r="F12" s="20">
        <v>51</v>
      </c>
      <c r="G12" s="14">
        <f t="shared" si="2"/>
        <v>102</v>
      </c>
      <c r="H12" s="15">
        <f t="shared" si="3"/>
        <v>106</v>
      </c>
      <c r="I12" s="15">
        <f t="shared" si="4"/>
        <v>112</v>
      </c>
      <c r="J12" s="15">
        <f t="shared" si="5"/>
        <v>122</v>
      </c>
      <c r="K12" s="21">
        <v>49</v>
      </c>
      <c r="L12" s="16">
        <f t="shared" si="6"/>
        <v>153</v>
      </c>
      <c r="M12" s="16">
        <f t="shared" si="7"/>
        <v>162</v>
      </c>
      <c r="N12" s="2">
        <f t="shared" si="8"/>
        <v>177</v>
      </c>
    </row>
    <row r="13" spans="1:14" ht="13.8" x14ac:dyDescent="0.25">
      <c r="A13" s="27">
        <v>45536</v>
      </c>
      <c r="B13" s="27">
        <v>45565</v>
      </c>
      <c r="C13" s="28">
        <v>74</v>
      </c>
      <c r="D13" s="14">
        <f t="shared" si="0"/>
        <v>76</v>
      </c>
      <c r="E13" s="14">
        <f t="shared" si="1"/>
        <v>79</v>
      </c>
      <c r="F13" s="14">
        <v>46</v>
      </c>
      <c r="G13" s="14">
        <f t="shared" si="2"/>
        <v>92</v>
      </c>
      <c r="H13" s="15">
        <f t="shared" si="3"/>
        <v>96</v>
      </c>
      <c r="I13" s="15">
        <f t="shared" si="4"/>
        <v>102</v>
      </c>
      <c r="J13" s="15">
        <f t="shared" si="5"/>
        <v>112</v>
      </c>
      <c r="K13" s="15">
        <v>44</v>
      </c>
      <c r="L13" s="16">
        <f t="shared" si="6"/>
        <v>138</v>
      </c>
      <c r="M13" s="16">
        <f t="shared" si="7"/>
        <v>147</v>
      </c>
      <c r="N13" s="2">
        <f t="shared" si="8"/>
        <v>162</v>
      </c>
    </row>
    <row r="14" spans="1:14" ht="14.4" thickBot="1" x14ac:dyDescent="0.3">
      <c r="A14" s="18">
        <v>45566</v>
      </c>
      <c r="B14" s="18">
        <v>45596</v>
      </c>
      <c r="C14" s="19">
        <v>82</v>
      </c>
      <c r="D14" s="14">
        <f t="shared" si="0"/>
        <v>84</v>
      </c>
      <c r="E14" s="14">
        <f t="shared" si="1"/>
        <v>87</v>
      </c>
      <c r="F14" s="20">
        <v>51</v>
      </c>
      <c r="G14" s="14">
        <f t="shared" si="2"/>
        <v>102</v>
      </c>
      <c r="H14" s="15">
        <f t="shared" si="3"/>
        <v>106</v>
      </c>
      <c r="I14" s="15">
        <f t="shared" si="4"/>
        <v>112</v>
      </c>
      <c r="J14" s="15">
        <f t="shared" si="5"/>
        <v>122</v>
      </c>
      <c r="K14" s="21">
        <v>49</v>
      </c>
      <c r="L14" s="16">
        <f t="shared" si="6"/>
        <v>153</v>
      </c>
      <c r="M14" s="16">
        <f t="shared" si="7"/>
        <v>162</v>
      </c>
      <c r="N14" s="2">
        <f t="shared" si="8"/>
        <v>177</v>
      </c>
    </row>
    <row r="15" spans="1:14" ht="14.4" thickTop="1" x14ac:dyDescent="0.25">
      <c r="A15" s="17">
        <v>45597</v>
      </c>
      <c r="B15" s="17">
        <v>45611</v>
      </c>
      <c r="C15" s="14">
        <v>77</v>
      </c>
      <c r="D15" s="14">
        <f t="shared" ref="D15:D20" si="9">+C15+2</f>
        <v>79</v>
      </c>
      <c r="E15" s="14">
        <f t="shared" ref="E15:E20" si="10">+C15+5</f>
        <v>82</v>
      </c>
      <c r="F15" s="14">
        <v>48</v>
      </c>
      <c r="G15" s="14">
        <f t="shared" ref="G15:G20" si="11">+F15*2</f>
        <v>96</v>
      </c>
      <c r="H15" s="15">
        <f t="shared" ref="H15:H20" si="12">+(F15+2)*2</f>
        <v>100</v>
      </c>
      <c r="I15" s="15">
        <f t="shared" ref="I15:I20" si="13">+G15+10</f>
        <v>106</v>
      </c>
      <c r="J15" s="15">
        <f t="shared" ref="J15:J20" si="14">+G15+20</f>
        <v>116</v>
      </c>
      <c r="K15" s="15">
        <v>46</v>
      </c>
      <c r="L15" s="16">
        <f t="shared" ref="L15:L20" si="15">+(K15+2)*3</f>
        <v>144</v>
      </c>
      <c r="M15" s="16">
        <f t="shared" ref="M15:M20" si="16">+(K15+5)*3</f>
        <v>153</v>
      </c>
      <c r="N15" s="2">
        <f t="shared" ref="N15:N20" si="17">+(K15+10)*3</f>
        <v>168</v>
      </c>
    </row>
    <row r="16" spans="1:14" ht="13.8" x14ac:dyDescent="0.25">
      <c r="A16" s="17">
        <v>45612</v>
      </c>
      <c r="B16" s="17">
        <v>45654</v>
      </c>
      <c r="C16" s="14">
        <v>77</v>
      </c>
      <c r="D16" s="14">
        <f t="shared" si="9"/>
        <v>79</v>
      </c>
      <c r="E16" s="14">
        <f t="shared" si="10"/>
        <v>82</v>
      </c>
      <c r="F16" s="14">
        <v>48</v>
      </c>
      <c r="G16" s="14">
        <f t="shared" si="11"/>
        <v>96</v>
      </c>
      <c r="H16" s="15">
        <f t="shared" si="12"/>
        <v>100</v>
      </c>
      <c r="I16" s="15">
        <f t="shared" si="13"/>
        <v>106</v>
      </c>
      <c r="J16" s="15">
        <f t="shared" si="14"/>
        <v>116</v>
      </c>
      <c r="K16" s="15">
        <v>46</v>
      </c>
      <c r="L16" s="16">
        <f t="shared" si="15"/>
        <v>144</v>
      </c>
      <c r="M16" s="16">
        <f t="shared" si="16"/>
        <v>153</v>
      </c>
      <c r="N16" s="2">
        <f t="shared" si="17"/>
        <v>168</v>
      </c>
    </row>
    <row r="17" spans="1:14" ht="13.8" x14ac:dyDescent="0.25">
      <c r="A17" s="17">
        <v>45655</v>
      </c>
      <c r="B17" s="17">
        <v>45667</v>
      </c>
      <c r="C17" s="14">
        <v>125</v>
      </c>
      <c r="D17" s="14">
        <f t="shared" si="9"/>
        <v>127</v>
      </c>
      <c r="E17" s="14">
        <f t="shared" si="10"/>
        <v>130</v>
      </c>
      <c r="F17" s="14">
        <v>78</v>
      </c>
      <c r="G17" s="14">
        <f t="shared" si="11"/>
        <v>156</v>
      </c>
      <c r="H17" s="15">
        <f t="shared" si="12"/>
        <v>160</v>
      </c>
      <c r="I17" s="15">
        <f t="shared" si="13"/>
        <v>166</v>
      </c>
      <c r="J17" s="15">
        <f t="shared" si="14"/>
        <v>176</v>
      </c>
      <c r="K17" s="15">
        <v>76</v>
      </c>
      <c r="L17" s="16">
        <f t="shared" si="15"/>
        <v>234</v>
      </c>
      <c r="M17" s="16">
        <f t="shared" si="16"/>
        <v>243</v>
      </c>
      <c r="N17" s="2">
        <f t="shared" si="17"/>
        <v>258</v>
      </c>
    </row>
    <row r="18" spans="1:14" ht="13.8" x14ac:dyDescent="0.25">
      <c r="A18" s="17">
        <v>45668</v>
      </c>
      <c r="B18" s="17">
        <v>45703</v>
      </c>
      <c r="C18" s="14">
        <v>61</v>
      </c>
      <c r="D18" s="14">
        <f t="shared" si="9"/>
        <v>63</v>
      </c>
      <c r="E18" s="14">
        <f t="shared" si="10"/>
        <v>66</v>
      </c>
      <c r="F18" s="20">
        <v>38</v>
      </c>
      <c r="G18" s="14">
        <f t="shared" si="11"/>
        <v>76</v>
      </c>
      <c r="H18" s="15">
        <f t="shared" si="12"/>
        <v>80</v>
      </c>
      <c r="I18" s="15">
        <f t="shared" si="13"/>
        <v>86</v>
      </c>
      <c r="J18" s="15">
        <f t="shared" si="14"/>
        <v>96</v>
      </c>
      <c r="K18" s="21">
        <v>36</v>
      </c>
      <c r="L18" s="16">
        <f t="shared" si="15"/>
        <v>114</v>
      </c>
      <c r="M18" s="16">
        <f t="shared" si="16"/>
        <v>123</v>
      </c>
      <c r="N18" s="2">
        <f t="shared" si="17"/>
        <v>138</v>
      </c>
    </row>
    <row r="19" spans="1:14" ht="13.8" x14ac:dyDescent="0.25">
      <c r="A19" s="27">
        <v>45704</v>
      </c>
      <c r="B19" s="27">
        <v>45777</v>
      </c>
      <c r="C19" s="28">
        <v>72</v>
      </c>
      <c r="D19" s="14">
        <f t="shared" si="9"/>
        <v>74</v>
      </c>
      <c r="E19" s="14">
        <f t="shared" si="10"/>
        <v>77</v>
      </c>
      <c r="F19" s="14">
        <v>45</v>
      </c>
      <c r="G19" s="14">
        <f t="shared" si="11"/>
        <v>90</v>
      </c>
      <c r="H19" s="15">
        <f t="shared" si="12"/>
        <v>94</v>
      </c>
      <c r="I19" s="15">
        <f t="shared" si="13"/>
        <v>100</v>
      </c>
      <c r="J19" s="15">
        <f t="shared" si="14"/>
        <v>110</v>
      </c>
      <c r="K19" s="15">
        <v>43</v>
      </c>
      <c r="L19" s="16">
        <f t="shared" si="15"/>
        <v>135</v>
      </c>
      <c r="M19" s="16">
        <f t="shared" si="16"/>
        <v>144</v>
      </c>
      <c r="N19" s="2">
        <f t="shared" si="17"/>
        <v>159</v>
      </c>
    </row>
    <row r="20" spans="1:14" ht="14.4" thickBot="1" x14ac:dyDescent="0.3">
      <c r="A20" s="18">
        <v>45778</v>
      </c>
      <c r="B20" s="18">
        <v>45792</v>
      </c>
      <c r="C20" s="19">
        <v>80</v>
      </c>
      <c r="D20" s="14">
        <f t="shared" si="9"/>
        <v>82</v>
      </c>
      <c r="E20" s="14">
        <f t="shared" si="10"/>
        <v>85</v>
      </c>
      <c r="F20" s="20">
        <v>50</v>
      </c>
      <c r="G20" s="14">
        <f t="shared" si="11"/>
        <v>100</v>
      </c>
      <c r="H20" s="15">
        <f t="shared" si="12"/>
        <v>104</v>
      </c>
      <c r="I20" s="15">
        <f t="shared" si="13"/>
        <v>110</v>
      </c>
      <c r="J20" s="15">
        <f t="shared" si="14"/>
        <v>120</v>
      </c>
      <c r="K20" s="21">
        <v>48</v>
      </c>
      <c r="L20" s="16">
        <f t="shared" si="15"/>
        <v>150</v>
      </c>
      <c r="M20" s="16">
        <f t="shared" si="16"/>
        <v>159</v>
      </c>
      <c r="N20" s="2">
        <f t="shared" si="17"/>
        <v>174</v>
      </c>
    </row>
    <row r="21" spans="1:14" ht="14.4" thickTop="1" x14ac:dyDescent="0.25">
      <c r="A21" s="17">
        <v>45793</v>
      </c>
      <c r="B21" s="17">
        <v>45808</v>
      </c>
      <c r="C21" s="14">
        <v>62</v>
      </c>
      <c r="D21" s="14">
        <f t="shared" ref="D21:D26" si="18">+C21+2</f>
        <v>64</v>
      </c>
      <c r="E21" s="14">
        <f t="shared" ref="E21:E26" si="19">+C21+5</f>
        <v>67</v>
      </c>
      <c r="F21" s="14">
        <v>39</v>
      </c>
      <c r="G21" s="14">
        <f t="shared" ref="G21:G26" si="20">+F21*2</f>
        <v>78</v>
      </c>
      <c r="H21" s="15">
        <f t="shared" ref="H21:H26" si="21">+(F21+2)*2</f>
        <v>82</v>
      </c>
      <c r="I21" s="15">
        <f t="shared" ref="I21:I26" si="22">+G21+10</f>
        <v>88</v>
      </c>
      <c r="J21" s="15">
        <f t="shared" ref="J21:J26" si="23">+G21+20</f>
        <v>98</v>
      </c>
      <c r="K21" s="15">
        <v>37</v>
      </c>
      <c r="L21" s="16">
        <f t="shared" ref="L21:L26" si="24">+(K21+2)*3</f>
        <v>117</v>
      </c>
      <c r="M21" s="16">
        <f t="shared" ref="M21:M26" si="25">+(K21+5)*3</f>
        <v>126</v>
      </c>
      <c r="N21" s="2">
        <f t="shared" ref="N21:N26" si="26">+(K21+10)*3</f>
        <v>141</v>
      </c>
    </row>
    <row r="22" spans="1:14" ht="13.8" x14ac:dyDescent="0.25">
      <c r="A22" s="17">
        <v>45809</v>
      </c>
      <c r="B22" s="17">
        <v>45838</v>
      </c>
      <c r="C22" s="14">
        <v>66</v>
      </c>
      <c r="D22" s="14">
        <f t="shared" si="18"/>
        <v>68</v>
      </c>
      <c r="E22" s="14">
        <f t="shared" si="19"/>
        <v>71</v>
      </c>
      <c r="F22" s="14">
        <v>41</v>
      </c>
      <c r="G22" s="14">
        <f t="shared" si="20"/>
        <v>82</v>
      </c>
      <c r="H22" s="15">
        <f t="shared" si="21"/>
        <v>86</v>
      </c>
      <c r="I22" s="15">
        <f t="shared" si="22"/>
        <v>92</v>
      </c>
      <c r="J22" s="15">
        <f t="shared" si="23"/>
        <v>102</v>
      </c>
      <c r="K22" s="15">
        <v>39</v>
      </c>
      <c r="L22" s="16">
        <f t="shared" si="24"/>
        <v>123</v>
      </c>
      <c r="M22" s="16">
        <f t="shared" si="25"/>
        <v>132</v>
      </c>
      <c r="N22" s="2">
        <f t="shared" si="26"/>
        <v>147</v>
      </c>
    </row>
    <row r="23" spans="1:14" ht="13.8" x14ac:dyDescent="0.25">
      <c r="A23" s="17">
        <v>45839</v>
      </c>
      <c r="B23" s="17">
        <v>45869</v>
      </c>
      <c r="C23" s="14">
        <v>74</v>
      </c>
      <c r="D23" s="14">
        <f t="shared" si="18"/>
        <v>76</v>
      </c>
      <c r="E23" s="14">
        <f t="shared" si="19"/>
        <v>79</v>
      </c>
      <c r="F23" s="14">
        <v>46</v>
      </c>
      <c r="G23" s="14">
        <f t="shared" si="20"/>
        <v>92</v>
      </c>
      <c r="H23" s="15">
        <f t="shared" si="21"/>
        <v>96</v>
      </c>
      <c r="I23" s="15">
        <f t="shared" si="22"/>
        <v>102</v>
      </c>
      <c r="J23" s="15">
        <f t="shared" si="23"/>
        <v>112</v>
      </c>
      <c r="K23" s="15">
        <v>44</v>
      </c>
      <c r="L23" s="16">
        <f t="shared" si="24"/>
        <v>138</v>
      </c>
      <c r="M23" s="16">
        <f t="shared" si="25"/>
        <v>147</v>
      </c>
      <c r="N23" s="2">
        <f t="shared" si="26"/>
        <v>162</v>
      </c>
    </row>
    <row r="24" spans="1:14" ht="13.8" x14ac:dyDescent="0.25">
      <c r="A24" s="17">
        <v>45870</v>
      </c>
      <c r="B24" s="17">
        <v>45900</v>
      </c>
      <c r="C24" s="14">
        <v>82</v>
      </c>
      <c r="D24" s="14">
        <f t="shared" si="18"/>
        <v>84</v>
      </c>
      <c r="E24" s="14">
        <f t="shared" si="19"/>
        <v>87</v>
      </c>
      <c r="F24" s="20">
        <v>51</v>
      </c>
      <c r="G24" s="14">
        <f t="shared" si="20"/>
        <v>102</v>
      </c>
      <c r="H24" s="15">
        <f t="shared" si="21"/>
        <v>106</v>
      </c>
      <c r="I24" s="15">
        <f t="shared" si="22"/>
        <v>112</v>
      </c>
      <c r="J24" s="15">
        <f t="shared" si="23"/>
        <v>122</v>
      </c>
      <c r="K24" s="21">
        <v>49</v>
      </c>
      <c r="L24" s="16">
        <f t="shared" si="24"/>
        <v>153</v>
      </c>
      <c r="M24" s="16">
        <f t="shared" si="25"/>
        <v>162</v>
      </c>
      <c r="N24" s="2">
        <f t="shared" si="26"/>
        <v>177</v>
      </c>
    </row>
    <row r="25" spans="1:14" ht="13.8" x14ac:dyDescent="0.25">
      <c r="A25" s="27">
        <v>45901</v>
      </c>
      <c r="B25" s="27">
        <v>45930</v>
      </c>
      <c r="C25" s="28">
        <v>74</v>
      </c>
      <c r="D25" s="14">
        <f t="shared" si="18"/>
        <v>76</v>
      </c>
      <c r="E25" s="14">
        <f t="shared" si="19"/>
        <v>79</v>
      </c>
      <c r="F25" s="14">
        <v>46</v>
      </c>
      <c r="G25" s="14">
        <f t="shared" si="20"/>
        <v>92</v>
      </c>
      <c r="H25" s="15">
        <f t="shared" si="21"/>
        <v>96</v>
      </c>
      <c r="I25" s="15">
        <f t="shared" si="22"/>
        <v>102</v>
      </c>
      <c r="J25" s="15">
        <f t="shared" si="23"/>
        <v>112</v>
      </c>
      <c r="K25" s="15">
        <v>44</v>
      </c>
      <c r="L25" s="16">
        <f t="shared" si="24"/>
        <v>138</v>
      </c>
      <c r="M25" s="16">
        <f t="shared" si="25"/>
        <v>147</v>
      </c>
      <c r="N25" s="2">
        <f t="shared" si="26"/>
        <v>162</v>
      </c>
    </row>
    <row r="26" spans="1:14" ht="14.4" thickBot="1" x14ac:dyDescent="0.3">
      <c r="A26" s="18">
        <v>45931</v>
      </c>
      <c r="B26" s="18">
        <v>45961</v>
      </c>
      <c r="C26" s="19">
        <v>82</v>
      </c>
      <c r="D26" s="14">
        <f t="shared" si="18"/>
        <v>84</v>
      </c>
      <c r="E26" s="14">
        <f t="shared" si="19"/>
        <v>87</v>
      </c>
      <c r="F26" s="20">
        <v>51</v>
      </c>
      <c r="G26" s="14">
        <f t="shared" si="20"/>
        <v>102</v>
      </c>
      <c r="H26" s="15">
        <f t="shared" si="21"/>
        <v>106</v>
      </c>
      <c r="I26" s="15">
        <f t="shared" si="22"/>
        <v>112</v>
      </c>
      <c r="J26" s="15">
        <f t="shared" si="23"/>
        <v>122</v>
      </c>
      <c r="K26" s="21">
        <v>49</v>
      </c>
      <c r="L26" s="16">
        <f t="shared" si="24"/>
        <v>153</v>
      </c>
      <c r="M26" s="16">
        <f t="shared" si="25"/>
        <v>162</v>
      </c>
      <c r="N26" s="2">
        <f t="shared" si="26"/>
        <v>177</v>
      </c>
    </row>
    <row r="27" spans="1:14" ht="13.8" thickTop="1" x14ac:dyDescent="0.25">
      <c r="A27" s="26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J1 L1:M1 C1:D1 G1:H1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 Globus (3).xls]rate code'!#REF!</xm:f>
          </x14:formula1>
          <xm:sqref>I1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>
      <selection activeCell="K6" sqref="K6"/>
    </sheetView>
  </sheetViews>
  <sheetFormatPr defaultColWidth="9.109375" defaultRowHeight="13.2" x14ac:dyDescent="0.25"/>
  <cols>
    <col min="1" max="1" width="11.33203125" style="2" bestFit="1" customWidth="1"/>
    <col min="2" max="2" width="13.5546875" style="2" customWidth="1"/>
    <col min="3" max="13" width="12.6640625" style="2" customWidth="1"/>
    <col min="14" max="16384" width="9.109375" style="2"/>
  </cols>
  <sheetData>
    <row r="1" spans="1:14" ht="16.2" thickTop="1" x14ac:dyDescent="0.3">
      <c r="A1" s="30" t="s">
        <v>5</v>
      </c>
      <c r="B1" s="31" t="s">
        <v>6</v>
      </c>
      <c r="C1" s="7" t="s">
        <v>16</v>
      </c>
      <c r="D1" s="8" t="s">
        <v>13</v>
      </c>
      <c r="E1" s="11" t="s">
        <v>19</v>
      </c>
      <c r="F1" s="11" t="s">
        <v>11</v>
      </c>
      <c r="G1" s="7" t="s">
        <v>14</v>
      </c>
      <c r="H1" s="7" t="s">
        <v>17</v>
      </c>
      <c r="I1" s="8" t="s">
        <v>18</v>
      </c>
      <c r="J1" s="8" t="s">
        <v>20</v>
      </c>
      <c r="K1" s="12" t="s">
        <v>12</v>
      </c>
      <c r="L1" s="7" t="s">
        <v>15</v>
      </c>
      <c r="M1" s="7" t="s">
        <v>21</v>
      </c>
      <c r="N1" s="1" t="s">
        <v>22</v>
      </c>
    </row>
    <row r="2" spans="1:14" ht="13.8" x14ac:dyDescent="0.25">
      <c r="A2" s="32">
        <v>45668</v>
      </c>
      <c r="B2" s="32">
        <v>45716</v>
      </c>
      <c r="C2" s="33">
        <v>35</v>
      </c>
      <c r="D2" s="33">
        <f t="shared" ref="D2" si="0">+C2+2</f>
        <v>37</v>
      </c>
      <c r="E2" s="33">
        <f t="shared" ref="E2" si="1">+C2+5</f>
        <v>40</v>
      </c>
      <c r="F2" s="34">
        <v>22</v>
      </c>
      <c r="G2" s="35">
        <f t="shared" ref="G2" si="2">+F2*2</f>
        <v>44</v>
      </c>
      <c r="H2" s="36">
        <f t="shared" ref="H2" si="3">+(F2+2)*2</f>
        <v>48</v>
      </c>
      <c r="I2" s="36">
        <f t="shared" ref="I2" si="4">+(F2+5)*2</f>
        <v>54</v>
      </c>
      <c r="J2" s="36">
        <f t="shared" ref="J2" si="5">+(F2+10)*2</f>
        <v>64</v>
      </c>
      <c r="K2" s="37">
        <v>20</v>
      </c>
      <c r="L2" s="38">
        <f t="shared" ref="L2" si="6">+(K2+2)*3</f>
        <v>66</v>
      </c>
      <c r="M2" s="38">
        <f t="shared" ref="M2" si="7">+(K2+5)*3</f>
        <v>75</v>
      </c>
      <c r="N2">
        <f t="shared" ref="N2" si="8">+(K2+10)*3</f>
        <v>90</v>
      </c>
    </row>
    <row r="3" spans="1:14" ht="13.8" x14ac:dyDescent="0.25">
      <c r="A3" s="32">
        <v>45717</v>
      </c>
      <c r="B3" s="32">
        <v>45763</v>
      </c>
      <c r="C3" s="33">
        <v>46</v>
      </c>
      <c r="D3" s="33">
        <f t="shared" ref="D3:D5" si="9">+C3+2</f>
        <v>48</v>
      </c>
      <c r="E3" s="33">
        <f t="shared" ref="E3:E5" si="10">+C3+5</f>
        <v>51</v>
      </c>
      <c r="F3" s="34">
        <v>29</v>
      </c>
      <c r="G3" s="35">
        <f t="shared" ref="G3:G5" si="11">+F3*2</f>
        <v>58</v>
      </c>
      <c r="H3" s="36">
        <f t="shared" ref="H3:H5" si="12">+(F3+2)*2</f>
        <v>62</v>
      </c>
      <c r="I3" s="36">
        <f t="shared" ref="I3:I5" si="13">+(F3+5)*2</f>
        <v>68</v>
      </c>
      <c r="J3" s="36">
        <f t="shared" ref="J3:J5" si="14">+(F3+10)*2</f>
        <v>78</v>
      </c>
      <c r="K3" s="37">
        <v>27</v>
      </c>
      <c r="L3" s="38">
        <f t="shared" ref="L3:L5" si="15">+(K3+2)*3</f>
        <v>87</v>
      </c>
      <c r="M3" s="38">
        <f t="shared" ref="M3:M5" si="16">+(K3+5)*3</f>
        <v>96</v>
      </c>
      <c r="N3">
        <f t="shared" ref="N3:N5" si="17">+(K3+10)*3</f>
        <v>111</v>
      </c>
    </row>
    <row r="4" spans="1:14" ht="13.8" x14ac:dyDescent="0.25">
      <c r="A4" s="32">
        <v>45764</v>
      </c>
      <c r="B4" s="32">
        <v>45787</v>
      </c>
      <c r="C4" s="33">
        <v>62</v>
      </c>
      <c r="D4" s="33">
        <f t="shared" si="9"/>
        <v>64</v>
      </c>
      <c r="E4" s="33">
        <f t="shared" si="10"/>
        <v>67</v>
      </c>
      <c r="F4" s="34">
        <v>39</v>
      </c>
      <c r="G4" s="35">
        <f t="shared" si="11"/>
        <v>78</v>
      </c>
      <c r="H4" s="36">
        <f t="shared" si="12"/>
        <v>82</v>
      </c>
      <c r="I4" s="36">
        <f t="shared" si="13"/>
        <v>88</v>
      </c>
      <c r="J4" s="36">
        <f t="shared" si="14"/>
        <v>98</v>
      </c>
      <c r="K4" s="37">
        <v>37</v>
      </c>
      <c r="L4" s="38">
        <f t="shared" si="15"/>
        <v>117</v>
      </c>
      <c r="M4" s="38">
        <f t="shared" si="16"/>
        <v>126</v>
      </c>
      <c r="N4">
        <f t="shared" si="17"/>
        <v>141</v>
      </c>
    </row>
    <row r="5" spans="1:14" ht="13.8" x14ac:dyDescent="0.25">
      <c r="A5" s="32">
        <v>45788</v>
      </c>
      <c r="B5" s="32">
        <v>45808</v>
      </c>
      <c r="C5" s="33">
        <v>54</v>
      </c>
      <c r="D5" s="33">
        <f t="shared" si="9"/>
        <v>56</v>
      </c>
      <c r="E5" s="33">
        <f t="shared" si="10"/>
        <v>59</v>
      </c>
      <c r="F5" s="34">
        <v>34</v>
      </c>
      <c r="G5" s="35">
        <f t="shared" si="11"/>
        <v>68</v>
      </c>
      <c r="H5" s="36">
        <f t="shared" si="12"/>
        <v>72</v>
      </c>
      <c r="I5" s="36">
        <f t="shared" si="13"/>
        <v>78</v>
      </c>
      <c r="J5" s="36">
        <f t="shared" si="14"/>
        <v>88</v>
      </c>
      <c r="K5" s="37">
        <v>32</v>
      </c>
      <c r="L5" s="38">
        <f t="shared" si="15"/>
        <v>102</v>
      </c>
      <c r="M5" s="38">
        <f t="shared" si="16"/>
        <v>111</v>
      </c>
      <c r="N5">
        <f t="shared" si="17"/>
        <v>126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J1 L1:M1 C1:D1 G1:H1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 Globus (3).xls]rate code'!#REF!</xm:f>
          </x14:formula1>
          <xm:sqref>I1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selection activeCell="A4" sqref="A4:XFD4"/>
    </sheetView>
  </sheetViews>
  <sheetFormatPr defaultColWidth="9.109375" defaultRowHeight="13.2" x14ac:dyDescent="0.25"/>
  <cols>
    <col min="1" max="1" width="11.33203125" style="2" bestFit="1" customWidth="1"/>
    <col min="2" max="2" width="13.5546875" style="2" customWidth="1"/>
    <col min="3" max="13" width="12.6640625" style="2" customWidth="1"/>
    <col min="14" max="16384" width="9.109375" style="2"/>
  </cols>
  <sheetData>
    <row r="1" spans="1:14" ht="16.2" thickTop="1" x14ac:dyDescent="0.3">
      <c r="A1" s="30" t="s">
        <v>5</v>
      </c>
      <c r="B1" s="31" t="s">
        <v>6</v>
      </c>
      <c r="C1" s="7" t="s">
        <v>16</v>
      </c>
      <c r="D1" s="8" t="s">
        <v>13</v>
      </c>
      <c r="E1" s="11" t="s">
        <v>19</v>
      </c>
      <c r="F1" s="11" t="s">
        <v>11</v>
      </c>
      <c r="G1" s="7" t="s">
        <v>14</v>
      </c>
      <c r="H1" s="7" t="s">
        <v>17</v>
      </c>
      <c r="I1" s="8" t="s">
        <v>18</v>
      </c>
      <c r="J1" s="8" t="s">
        <v>20</v>
      </c>
      <c r="K1" s="12" t="s">
        <v>12</v>
      </c>
      <c r="L1" s="7" t="s">
        <v>15</v>
      </c>
      <c r="M1" s="7" t="s">
        <v>21</v>
      </c>
      <c r="N1" s="1" t="s">
        <v>22</v>
      </c>
    </row>
    <row r="2" spans="1:14" ht="13.8" x14ac:dyDescent="0.25">
      <c r="A2" s="32">
        <v>45668</v>
      </c>
      <c r="B2" s="32">
        <v>45716</v>
      </c>
      <c r="C2" s="33">
        <v>35</v>
      </c>
      <c r="D2" s="33">
        <f t="shared" ref="D2:D5" si="0">+C2+2</f>
        <v>37</v>
      </c>
      <c r="E2" s="33">
        <f t="shared" ref="E2:E5" si="1">+C2+5</f>
        <v>40</v>
      </c>
      <c r="F2" s="34">
        <v>22</v>
      </c>
      <c r="G2" s="35">
        <f t="shared" ref="G2:G5" si="2">+F2*2</f>
        <v>44</v>
      </c>
      <c r="H2" s="36">
        <f t="shared" ref="H2:H5" si="3">+(F2+2)*2</f>
        <v>48</v>
      </c>
      <c r="I2" s="36">
        <f t="shared" ref="I2:I5" si="4">+(F2+5)*2</f>
        <v>54</v>
      </c>
      <c r="J2" s="36">
        <f t="shared" ref="J2:J5" si="5">+(F2+10)*2</f>
        <v>64</v>
      </c>
      <c r="K2" s="37">
        <v>20</v>
      </c>
      <c r="L2" s="38">
        <f t="shared" ref="L2:L5" si="6">+(K2+2)*3</f>
        <v>66</v>
      </c>
      <c r="M2" s="38">
        <f t="shared" ref="M2:M5" si="7">+(K2+5)*3</f>
        <v>75</v>
      </c>
      <c r="N2">
        <f t="shared" ref="N2:N5" si="8">+(K2+10)*3</f>
        <v>90</v>
      </c>
    </row>
    <row r="3" spans="1:14" ht="13.8" x14ac:dyDescent="0.25">
      <c r="A3" s="32">
        <v>45717</v>
      </c>
      <c r="B3" s="32">
        <v>45763</v>
      </c>
      <c r="C3" s="33">
        <v>42</v>
      </c>
      <c r="D3" s="33">
        <f t="shared" si="0"/>
        <v>44</v>
      </c>
      <c r="E3" s="33">
        <f t="shared" si="1"/>
        <v>47</v>
      </c>
      <c r="F3" s="34">
        <v>26</v>
      </c>
      <c r="G3" s="35">
        <f t="shared" si="2"/>
        <v>52</v>
      </c>
      <c r="H3" s="36">
        <f t="shared" si="3"/>
        <v>56</v>
      </c>
      <c r="I3" s="36">
        <f t="shared" si="4"/>
        <v>62</v>
      </c>
      <c r="J3" s="36">
        <f t="shared" si="5"/>
        <v>72</v>
      </c>
      <c r="K3" s="37">
        <v>24</v>
      </c>
      <c r="L3" s="38">
        <f t="shared" si="6"/>
        <v>78</v>
      </c>
      <c r="M3" s="38">
        <f t="shared" si="7"/>
        <v>87</v>
      </c>
      <c r="N3">
        <f t="shared" si="8"/>
        <v>102</v>
      </c>
    </row>
    <row r="4" spans="1:14" ht="13.8" x14ac:dyDescent="0.25">
      <c r="A4" s="32">
        <v>45764</v>
      </c>
      <c r="B4" s="32">
        <v>45787</v>
      </c>
      <c r="C4" s="33">
        <v>58</v>
      </c>
      <c r="D4" s="33">
        <f t="shared" si="0"/>
        <v>60</v>
      </c>
      <c r="E4" s="33">
        <f t="shared" si="1"/>
        <v>63</v>
      </c>
      <c r="F4" s="34">
        <v>36</v>
      </c>
      <c r="G4" s="35">
        <f t="shared" si="2"/>
        <v>72</v>
      </c>
      <c r="H4" s="36">
        <f t="shared" si="3"/>
        <v>76</v>
      </c>
      <c r="I4" s="36">
        <f t="shared" si="4"/>
        <v>82</v>
      </c>
      <c r="J4" s="36">
        <f t="shared" si="5"/>
        <v>92</v>
      </c>
      <c r="K4" s="37">
        <v>34</v>
      </c>
      <c r="L4" s="38">
        <f t="shared" si="6"/>
        <v>108</v>
      </c>
      <c r="M4" s="38">
        <f t="shared" si="7"/>
        <v>117</v>
      </c>
      <c r="N4">
        <f t="shared" si="8"/>
        <v>132</v>
      </c>
    </row>
    <row r="5" spans="1:14" ht="13.8" x14ac:dyDescent="0.25">
      <c r="A5" s="32">
        <v>45788</v>
      </c>
      <c r="B5" s="32">
        <v>45808</v>
      </c>
      <c r="C5" s="33">
        <v>50</v>
      </c>
      <c r="D5" s="33">
        <f t="shared" si="0"/>
        <v>52</v>
      </c>
      <c r="E5" s="33">
        <f t="shared" si="1"/>
        <v>55</v>
      </c>
      <c r="F5" s="34">
        <v>31</v>
      </c>
      <c r="G5" s="35">
        <f t="shared" si="2"/>
        <v>62</v>
      </c>
      <c r="H5" s="36">
        <f t="shared" si="3"/>
        <v>66</v>
      </c>
      <c r="I5" s="36">
        <f t="shared" si="4"/>
        <v>72</v>
      </c>
      <c r="J5" s="36">
        <f t="shared" si="5"/>
        <v>82</v>
      </c>
      <c r="K5" s="37">
        <v>29</v>
      </c>
      <c r="L5" s="38">
        <f t="shared" si="6"/>
        <v>93</v>
      </c>
      <c r="M5" s="38">
        <f t="shared" si="7"/>
        <v>102</v>
      </c>
      <c r="N5">
        <f t="shared" si="8"/>
        <v>117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 Globus (3).xls]rate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Globus.xls]rate code'!#REF!</xm:f>
          </x14:formula1>
          <xm:sqref>J1 L1:M1 C1:D1 G1:H1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activeCell="A4" sqref="A4:XFD4"/>
    </sheetView>
  </sheetViews>
  <sheetFormatPr defaultColWidth="9.109375" defaultRowHeight="13.2" x14ac:dyDescent="0.25"/>
  <cols>
    <col min="1" max="1" width="11.33203125" style="2" bestFit="1" customWidth="1"/>
    <col min="2" max="2" width="13.5546875" style="2" customWidth="1"/>
    <col min="3" max="13" width="12.6640625" style="2" customWidth="1"/>
    <col min="14" max="16384" width="9.109375" style="2"/>
  </cols>
  <sheetData>
    <row r="1" spans="1:14" ht="16.2" thickTop="1" x14ac:dyDescent="0.3">
      <c r="A1" s="30" t="s">
        <v>5</v>
      </c>
      <c r="B1" s="31" t="s">
        <v>6</v>
      </c>
      <c r="C1" s="7" t="s">
        <v>16</v>
      </c>
      <c r="D1" s="8" t="s">
        <v>13</v>
      </c>
      <c r="E1" s="11" t="s">
        <v>19</v>
      </c>
      <c r="F1" s="11" t="s">
        <v>11</v>
      </c>
      <c r="G1" s="7" t="s">
        <v>14</v>
      </c>
      <c r="H1" s="7" t="s">
        <v>17</v>
      </c>
      <c r="I1" s="8" t="s">
        <v>18</v>
      </c>
      <c r="J1" s="8" t="s">
        <v>20</v>
      </c>
      <c r="K1" s="12" t="s">
        <v>12</v>
      </c>
      <c r="L1" s="7" t="s">
        <v>15</v>
      </c>
      <c r="M1" s="7" t="s">
        <v>21</v>
      </c>
      <c r="N1" s="1" t="s">
        <v>22</v>
      </c>
    </row>
    <row r="2" spans="1:14" ht="13.8" x14ac:dyDescent="0.25">
      <c r="A2" s="32">
        <v>45686</v>
      </c>
      <c r="B2" s="32">
        <v>45716</v>
      </c>
      <c r="C2" s="33">
        <v>35</v>
      </c>
      <c r="D2" s="33">
        <f t="shared" ref="D2:D5" si="0">+C2+2</f>
        <v>37</v>
      </c>
      <c r="E2" s="33">
        <f t="shared" ref="E2:E5" si="1">+C2+5</f>
        <v>40</v>
      </c>
      <c r="F2" s="34">
        <v>22</v>
      </c>
      <c r="G2" s="35">
        <f t="shared" ref="G2:G5" si="2">+F2*2</f>
        <v>44</v>
      </c>
      <c r="H2" s="36">
        <f t="shared" ref="H2:H5" si="3">+(F2+2)*2</f>
        <v>48</v>
      </c>
      <c r="I2" s="36">
        <f t="shared" ref="I2:I5" si="4">+(F2+5)*2</f>
        <v>54</v>
      </c>
      <c r="J2" s="36">
        <f t="shared" ref="J2:J5" si="5">+(F2+10)*2</f>
        <v>64</v>
      </c>
      <c r="K2" s="37">
        <v>20</v>
      </c>
      <c r="L2" s="38">
        <f t="shared" ref="L2:L5" si="6">+(K2+2)*3</f>
        <v>66</v>
      </c>
      <c r="M2" s="38">
        <f t="shared" ref="M2:M5" si="7">+(K2+5)*3</f>
        <v>75</v>
      </c>
      <c r="N2">
        <f t="shared" ref="N2:N5" si="8">+(K2+10)*3</f>
        <v>90</v>
      </c>
    </row>
    <row r="3" spans="1:14" ht="13.8" x14ac:dyDescent="0.25">
      <c r="A3" s="32">
        <v>45717</v>
      </c>
      <c r="B3" s="32">
        <v>45763</v>
      </c>
      <c r="C3" s="33">
        <v>42</v>
      </c>
      <c r="D3" s="33">
        <f t="shared" si="0"/>
        <v>44</v>
      </c>
      <c r="E3" s="33">
        <f t="shared" si="1"/>
        <v>47</v>
      </c>
      <c r="F3" s="34">
        <v>26</v>
      </c>
      <c r="G3" s="35">
        <f t="shared" si="2"/>
        <v>52</v>
      </c>
      <c r="H3" s="36">
        <f t="shared" si="3"/>
        <v>56</v>
      </c>
      <c r="I3" s="36">
        <f t="shared" si="4"/>
        <v>62</v>
      </c>
      <c r="J3" s="36">
        <f t="shared" si="5"/>
        <v>72</v>
      </c>
      <c r="K3" s="37">
        <v>24</v>
      </c>
      <c r="L3" s="38">
        <f t="shared" si="6"/>
        <v>78</v>
      </c>
      <c r="M3" s="38">
        <f t="shared" si="7"/>
        <v>87</v>
      </c>
      <c r="N3">
        <f t="shared" si="8"/>
        <v>102</v>
      </c>
    </row>
    <row r="4" spans="1:14" ht="13.8" x14ac:dyDescent="0.25">
      <c r="A4" s="32">
        <v>45764</v>
      </c>
      <c r="B4" s="32">
        <v>45787</v>
      </c>
      <c r="C4" s="33">
        <v>58</v>
      </c>
      <c r="D4" s="33">
        <f t="shared" si="0"/>
        <v>60</v>
      </c>
      <c r="E4" s="33">
        <f t="shared" si="1"/>
        <v>63</v>
      </c>
      <c r="F4" s="34">
        <v>36</v>
      </c>
      <c r="G4" s="35">
        <f t="shared" si="2"/>
        <v>72</v>
      </c>
      <c r="H4" s="36">
        <f t="shared" si="3"/>
        <v>76</v>
      </c>
      <c r="I4" s="36">
        <f t="shared" si="4"/>
        <v>82</v>
      </c>
      <c r="J4" s="36">
        <f t="shared" si="5"/>
        <v>92</v>
      </c>
      <c r="K4" s="37">
        <v>34</v>
      </c>
      <c r="L4" s="38">
        <f t="shared" si="6"/>
        <v>108</v>
      </c>
      <c r="M4" s="38">
        <f t="shared" si="7"/>
        <v>117</v>
      </c>
      <c r="N4">
        <f t="shared" si="8"/>
        <v>132</v>
      </c>
    </row>
    <row r="5" spans="1:14" ht="13.8" x14ac:dyDescent="0.25">
      <c r="A5" s="32">
        <v>45788</v>
      </c>
      <c r="B5" s="32">
        <v>45792</v>
      </c>
      <c r="C5" s="33">
        <v>50</v>
      </c>
      <c r="D5" s="33">
        <f t="shared" si="0"/>
        <v>52</v>
      </c>
      <c r="E5" s="33">
        <f t="shared" si="1"/>
        <v>55</v>
      </c>
      <c r="F5" s="34">
        <v>31</v>
      </c>
      <c r="G5" s="35">
        <f t="shared" si="2"/>
        <v>62</v>
      </c>
      <c r="H5" s="36">
        <f t="shared" si="3"/>
        <v>66</v>
      </c>
      <c r="I5" s="36">
        <f t="shared" si="4"/>
        <v>72</v>
      </c>
      <c r="J5" s="36">
        <f t="shared" si="5"/>
        <v>82</v>
      </c>
      <c r="K5" s="37">
        <v>29</v>
      </c>
      <c r="L5" s="38">
        <f t="shared" si="6"/>
        <v>93</v>
      </c>
      <c r="M5" s="38">
        <f t="shared" si="7"/>
        <v>102</v>
      </c>
      <c r="N5">
        <f t="shared" si="8"/>
        <v>117</v>
      </c>
    </row>
    <row r="6" spans="1:14" ht="13.8" x14ac:dyDescent="0.25">
      <c r="A6" s="32">
        <v>45793</v>
      </c>
      <c r="B6" s="32">
        <v>45808</v>
      </c>
      <c r="C6" s="33">
        <v>45</v>
      </c>
      <c r="D6" s="33">
        <f t="shared" ref="D6:D8" si="9">+C6+2</f>
        <v>47</v>
      </c>
      <c r="E6" s="33">
        <f t="shared" ref="E6:E8" si="10">+C6+5</f>
        <v>50</v>
      </c>
      <c r="F6" s="34">
        <v>28</v>
      </c>
      <c r="G6" s="35">
        <f t="shared" ref="G6:G8" si="11">+F6*2</f>
        <v>56</v>
      </c>
      <c r="H6" s="36">
        <f t="shared" ref="H6:H8" si="12">+(F6+2)*2</f>
        <v>60</v>
      </c>
      <c r="I6" s="36">
        <f t="shared" ref="I6:I8" si="13">+(F6+5)*2</f>
        <v>66</v>
      </c>
      <c r="J6" s="36">
        <f t="shared" ref="J6:J8" si="14">+(F6+10)*2</f>
        <v>76</v>
      </c>
      <c r="K6" s="37">
        <v>26</v>
      </c>
      <c r="L6" s="38">
        <f t="shared" ref="L6:L8" si="15">+(K6+2)*3</f>
        <v>84</v>
      </c>
      <c r="M6" s="38">
        <f t="shared" ref="M6:M8" si="16">+(K6+5)*3</f>
        <v>93</v>
      </c>
      <c r="N6">
        <f t="shared" ref="N6:N8" si="17">+(K6+10)*3</f>
        <v>108</v>
      </c>
    </row>
    <row r="7" spans="1:14" ht="13.8" x14ac:dyDescent="0.25">
      <c r="A7" s="32">
        <v>45809</v>
      </c>
      <c r="B7" s="32">
        <v>45838</v>
      </c>
      <c r="C7" s="33">
        <v>48</v>
      </c>
      <c r="D7" s="33">
        <f t="shared" si="9"/>
        <v>50</v>
      </c>
      <c r="E7" s="33">
        <f t="shared" si="10"/>
        <v>53</v>
      </c>
      <c r="F7" s="34">
        <v>30</v>
      </c>
      <c r="G7" s="35">
        <f t="shared" si="11"/>
        <v>60</v>
      </c>
      <c r="H7" s="36">
        <f t="shared" si="12"/>
        <v>64</v>
      </c>
      <c r="I7" s="36">
        <f t="shared" si="13"/>
        <v>70</v>
      </c>
      <c r="J7" s="36">
        <f t="shared" si="14"/>
        <v>80</v>
      </c>
      <c r="K7" s="37">
        <v>28</v>
      </c>
      <c r="L7" s="38">
        <f t="shared" si="15"/>
        <v>90</v>
      </c>
      <c r="M7" s="38">
        <f t="shared" si="16"/>
        <v>99</v>
      </c>
      <c r="N7">
        <f t="shared" si="17"/>
        <v>114</v>
      </c>
    </row>
    <row r="8" spans="1:14" ht="13.8" x14ac:dyDescent="0.25">
      <c r="A8" s="32">
        <v>45839</v>
      </c>
      <c r="B8" s="32">
        <v>45869</v>
      </c>
      <c r="C8" s="33">
        <v>56</v>
      </c>
      <c r="D8" s="33">
        <f t="shared" si="9"/>
        <v>58</v>
      </c>
      <c r="E8" s="33">
        <f t="shared" si="10"/>
        <v>61</v>
      </c>
      <c r="F8" s="34">
        <v>35</v>
      </c>
      <c r="G8" s="35">
        <f t="shared" si="11"/>
        <v>70</v>
      </c>
      <c r="H8" s="36">
        <f t="shared" si="12"/>
        <v>74</v>
      </c>
      <c r="I8" s="36">
        <f t="shared" si="13"/>
        <v>80</v>
      </c>
      <c r="J8" s="36">
        <f t="shared" si="14"/>
        <v>90</v>
      </c>
      <c r="K8" s="37">
        <v>33</v>
      </c>
      <c r="L8" s="38">
        <f t="shared" si="15"/>
        <v>105</v>
      </c>
      <c r="M8" s="38">
        <f t="shared" si="16"/>
        <v>114</v>
      </c>
      <c r="N8">
        <f t="shared" si="17"/>
        <v>129</v>
      </c>
    </row>
    <row r="9" spans="1:14" ht="13.8" x14ac:dyDescent="0.25">
      <c r="A9" s="32">
        <v>45870</v>
      </c>
      <c r="B9" s="32">
        <v>45900</v>
      </c>
      <c r="C9" s="33">
        <v>62</v>
      </c>
      <c r="D9" s="33">
        <f t="shared" ref="D9:D11" si="18">+C9+2</f>
        <v>64</v>
      </c>
      <c r="E9" s="33">
        <f t="shared" ref="E9:E11" si="19">+C9+5</f>
        <v>67</v>
      </c>
      <c r="F9" s="34">
        <v>39</v>
      </c>
      <c r="G9" s="35">
        <f t="shared" ref="G9:G11" si="20">+F9*2</f>
        <v>78</v>
      </c>
      <c r="H9" s="36">
        <f t="shared" ref="H9:H11" si="21">+(F9+2)*2</f>
        <v>82</v>
      </c>
      <c r="I9" s="36">
        <f t="shared" ref="I9:I11" si="22">+(F9+5)*2</f>
        <v>88</v>
      </c>
      <c r="J9" s="36">
        <f t="shared" ref="J9:J11" si="23">+(F9+10)*2</f>
        <v>98</v>
      </c>
      <c r="K9" s="37">
        <v>37</v>
      </c>
      <c r="L9" s="38">
        <f t="shared" ref="L9:L11" si="24">+(K9+2)*3</f>
        <v>117</v>
      </c>
      <c r="M9" s="38">
        <f t="shared" ref="M9:M11" si="25">+(K9+5)*3</f>
        <v>126</v>
      </c>
      <c r="N9">
        <f t="shared" ref="N9:N11" si="26">+(K9+10)*3</f>
        <v>141</v>
      </c>
    </row>
    <row r="10" spans="1:14" ht="13.8" x14ac:dyDescent="0.25">
      <c r="A10" s="32">
        <v>45901</v>
      </c>
      <c r="B10" s="32">
        <v>45930</v>
      </c>
      <c r="C10" s="33">
        <v>56</v>
      </c>
      <c r="D10" s="33">
        <f t="shared" si="18"/>
        <v>58</v>
      </c>
      <c r="E10" s="33">
        <f t="shared" si="19"/>
        <v>61</v>
      </c>
      <c r="F10" s="34">
        <v>35</v>
      </c>
      <c r="G10" s="35">
        <f t="shared" si="20"/>
        <v>70</v>
      </c>
      <c r="H10" s="36">
        <f t="shared" si="21"/>
        <v>74</v>
      </c>
      <c r="I10" s="36">
        <f t="shared" si="22"/>
        <v>80</v>
      </c>
      <c r="J10" s="36">
        <f t="shared" si="23"/>
        <v>90</v>
      </c>
      <c r="K10" s="37">
        <v>33</v>
      </c>
      <c r="L10" s="38">
        <f t="shared" si="24"/>
        <v>105</v>
      </c>
      <c r="M10" s="38">
        <f t="shared" si="25"/>
        <v>114</v>
      </c>
      <c r="N10">
        <f t="shared" si="26"/>
        <v>129</v>
      </c>
    </row>
    <row r="11" spans="1:14" ht="13.8" x14ac:dyDescent="0.25">
      <c r="A11" s="32">
        <v>45931</v>
      </c>
      <c r="B11" s="32">
        <v>45961</v>
      </c>
      <c r="C11" s="33">
        <v>62</v>
      </c>
      <c r="D11" s="33">
        <f t="shared" si="18"/>
        <v>64</v>
      </c>
      <c r="E11" s="33">
        <f t="shared" si="19"/>
        <v>67</v>
      </c>
      <c r="F11" s="34">
        <v>39</v>
      </c>
      <c r="G11" s="35">
        <f t="shared" si="20"/>
        <v>78</v>
      </c>
      <c r="H11" s="36">
        <f t="shared" si="21"/>
        <v>82</v>
      </c>
      <c r="I11" s="36">
        <f t="shared" si="22"/>
        <v>88</v>
      </c>
      <c r="J11" s="36">
        <f t="shared" si="23"/>
        <v>98</v>
      </c>
      <c r="K11" s="37">
        <v>37</v>
      </c>
      <c r="L11" s="38">
        <f t="shared" si="24"/>
        <v>117</v>
      </c>
      <c r="M11" s="38">
        <f t="shared" si="25"/>
        <v>126</v>
      </c>
      <c r="N11">
        <f t="shared" si="26"/>
        <v>141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J1 L1:M1 C1:D1 G1:H1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 Globus (3).xls]rate code'!#REF!</xm:f>
          </x14:formula1>
          <xm:sqref>I1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workbookViewId="0">
      <selection activeCell="A6" sqref="A6:XFD6"/>
    </sheetView>
  </sheetViews>
  <sheetFormatPr defaultColWidth="9.109375" defaultRowHeight="13.2" x14ac:dyDescent="0.25"/>
  <cols>
    <col min="1" max="1" width="11.33203125" style="2" bestFit="1" customWidth="1"/>
    <col min="2" max="2" width="13.5546875" style="2" customWidth="1"/>
    <col min="3" max="13" width="12.6640625" style="2" customWidth="1"/>
    <col min="14" max="16384" width="9.109375" style="2"/>
  </cols>
  <sheetData>
    <row r="1" spans="1:14" ht="16.2" thickTop="1" x14ac:dyDescent="0.3">
      <c r="A1" s="30" t="s">
        <v>5</v>
      </c>
      <c r="B1" s="31" t="s">
        <v>6</v>
      </c>
      <c r="C1" s="7" t="s">
        <v>16</v>
      </c>
      <c r="D1" s="8" t="s">
        <v>13</v>
      </c>
      <c r="E1" s="11" t="s">
        <v>19</v>
      </c>
      <c r="F1" s="11" t="s">
        <v>11</v>
      </c>
      <c r="G1" s="7" t="s">
        <v>14</v>
      </c>
      <c r="H1" s="7" t="s">
        <v>17</v>
      </c>
      <c r="I1" s="8" t="s">
        <v>18</v>
      </c>
      <c r="J1" s="8" t="s">
        <v>20</v>
      </c>
      <c r="K1" s="12" t="s">
        <v>12</v>
      </c>
      <c r="L1" s="7" t="s">
        <v>15</v>
      </c>
      <c r="M1" s="7" t="s">
        <v>21</v>
      </c>
      <c r="N1" s="1" t="s">
        <v>22</v>
      </c>
    </row>
    <row r="2" spans="1:14" ht="13.8" x14ac:dyDescent="0.25">
      <c r="A2" s="32">
        <v>45732</v>
      </c>
      <c r="B2" s="32">
        <v>45763</v>
      </c>
      <c r="C2" s="33">
        <v>42</v>
      </c>
      <c r="D2" s="33">
        <f t="shared" ref="D2:D3" si="0">+C2+2</f>
        <v>44</v>
      </c>
      <c r="E2" s="33">
        <f t="shared" ref="E2:E3" si="1">+C2+5</f>
        <v>47</v>
      </c>
      <c r="F2" s="34">
        <v>26</v>
      </c>
      <c r="G2" s="35">
        <f t="shared" ref="G2:G3" si="2">+F2*2</f>
        <v>52</v>
      </c>
      <c r="H2" s="36">
        <f t="shared" ref="H2:H3" si="3">+(F2+2)*2</f>
        <v>56</v>
      </c>
      <c r="I2" s="36">
        <f t="shared" ref="I2:I3" si="4">+(F2+5)*2</f>
        <v>62</v>
      </c>
      <c r="J2" s="36">
        <f t="shared" ref="J2:J3" si="5">+(F2+10)*2</f>
        <v>72</v>
      </c>
      <c r="K2" s="37">
        <v>24</v>
      </c>
      <c r="L2" s="38">
        <f t="shared" ref="L2:L3" si="6">+(K2+2)*3</f>
        <v>78</v>
      </c>
      <c r="M2" s="38">
        <f t="shared" ref="M2:M3" si="7">+(K2+5)*3</f>
        <v>87</v>
      </c>
      <c r="N2">
        <f t="shared" ref="N2:N3" si="8">+(K2+10)*3</f>
        <v>102</v>
      </c>
    </row>
    <row r="3" spans="1:14" ht="13.8" x14ac:dyDescent="0.25">
      <c r="A3" s="32">
        <v>45764</v>
      </c>
      <c r="B3" s="32">
        <v>45787</v>
      </c>
      <c r="C3" s="33">
        <v>58</v>
      </c>
      <c r="D3" s="33">
        <f t="shared" si="0"/>
        <v>60</v>
      </c>
      <c r="E3" s="33">
        <f t="shared" si="1"/>
        <v>63</v>
      </c>
      <c r="F3" s="34">
        <v>36</v>
      </c>
      <c r="G3" s="35">
        <f t="shared" si="2"/>
        <v>72</v>
      </c>
      <c r="H3" s="36">
        <f t="shared" si="3"/>
        <v>76</v>
      </c>
      <c r="I3" s="36">
        <f t="shared" si="4"/>
        <v>82</v>
      </c>
      <c r="J3" s="36">
        <f t="shared" si="5"/>
        <v>92</v>
      </c>
      <c r="K3" s="37">
        <v>34</v>
      </c>
      <c r="L3" s="38">
        <f t="shared" si="6"/>
        <v>108</v>
      </c>
      <c r="M3" s="38">
        <f t="shared" si="7"/>
        <v>117</v>
      </c>
      <c r="N3">
        <f t="shared" si="8"/>
        <v>132</v>
      </c>
    </row>
    <row r="4" spans="1:14" ht="13.8" x14ac:dyDescent="0.25">
      <c r="A4" s="32">
        <v>45788</v>
      </c>
      <c r="B4" s="32">
        <v>45792</v>
      </c>
      <c r="C4" s="33">
        <v>50</v>
      </c>
      <c r="D4" s="33">
        <f t="shared" ref="D4:D10" si="9">+C4+2</f>
        <v>52</v>
      </c>
      <c r="E4" s="33">
        <f t="shared" ref="E4:E10" si="10">+C4+5</f>
        <v>55</v>
      </c>
      <c r="F4" s="34">
        <v>31</v>
      </c>
      <c r="G4" s="35">
        <f t="shared" ref="G4:G10" si="11">+F4*2</f>
        <v>62</v>
      </c>
      <c r="H4" s="36">
        <f t="shared" ref="H4:H10" si="12">+(F4+2)*2</f>
        <v>66</v>
      </c>
      <c r="I4" s="36">
        <f t="shared" ref="I4:I10" si="13">+(F4+5)*2</f>
        <v>72</v>
      </c>
      <c r="J4" s="36">
        <f t="shared" ref="J4:J10" si="14">+(F4+10)*2</f>
        <v>82</v>
      </c>
      <c r="K4" s="37">
        <v>29</v>
      </c>
      <c r="L4" s="38">
        <f t="shared" ref="L4:L10" si="15">+(K4+2)*3</f>
        <v>93</v>
      </c>
      <c r="M4" s="38">
        <f t="shared" ref="M4:M10" si="16">+(K4+5)*3</f>
        <v>102</v>
      </c>
      <c r="N4">
        <f t="shared" ref="N4:N10" si="17">+(K4+10)*3</f>
        <v>117</v>
      </c>
    </row>
    <row r="5" spans="1:14" ht="13.8" x14ac:dyDescent="0.25">
      <c r="A5" s="32">
        <v>45793</v>
      </c>
      <c r="B5" s="32">
        <v>45808</v>
      </c>
      <c r="C5" s="33">
        <v>40</v>
      </c>
      <c r="D5" s="33">
        <f t="shared" si="9"/>
        <v>42</v>
      </c>
      <c r="E5" s="33">
        <f t="shared" si="10"/>
        <v>45</v>
      </c>
      <c r="F5" s="34">
        <v>25</v>
      </c>
      <c r="G5" s="35">
        <f t="shared" si="11"/>
        <v>50</v>
      </c>
      <c r="H5" s="36">
        <f t="shared" si="12"/>
        <v>54</v>
      </c>
      <c r="I5" s="36">
        <f t="shared" si="13"/>
        <v>60</v>
      </c>
      <c r="J5" s="36">
        <f t="shared" si="14"/>
        <v>70</v>
      </c>
      <c r="K5" s="37">
        <v>23</v>
      </c>
      <c r="L5" s="38">
        <f t="shared" si="15"/>
        <v>75</v>
      </c>
      <c r="M5" s="38">
        <f t="shared" si="16"/>
        <v>84</v>
      </c>
      <c r="N5">
        <f t="shared" si="17"/>
        <v>99</v>
      </c>
    </row>
    <row r="6" spans="1:14" ht="13.8" x14ac:dyDescent="0.25">
      <c r="A6" s="32">
        <v>45809</v>
      </c>
      <c r="B6" s="32">
        <v>45838</v>
      </c>
      <c r="C6" s="33">
        <v>42</v>
      </c>
      <c r="D6" s="33">
        <f t="shared" si="9"/>
        <v>44</v>
      </c>
      <c r="E6" s="33">
        <f t="shared" si="10"/>
        <v>47</v>
      </c>
      <c r="F6" s="34">
        <v>26</v>
      </c>
      <c r="G6" s="35">
        <f t="shared" si="11"/>
        <v>52</v>
      </c>
      <c r="H6" s="36">
        <f t="shared" si="12"/>
        <v>56</v>
      </c>
      <c r="I6" s="36">
        <f t="shared" si="13"/>
        <v>62</v>
      </c>
      <c r="J6" s="36">
        <f t="shared" si="14"/>
        <v>72</v>
      </c>
      <c r="K6" s="37">
        <v>24</v>
      </c>
      <c r="L6" s="38">
        <f t="shared" si="15"/>
        <v>78</v>
      </c>
      <c r="M6" s="38">
        <f t="shared" si="16"/>
        <v>87</v>
      </c>
      <c r="N6">
        <f t="shared" si="17"/>
        <v>102</v>
      </c>
    </row>
    <row r="7" spans="1:14" ht="13.8" x14ac:dyDescent="0.25">
      <c r="A7" s="32">
        <v>45839</v>
      </c>
      <c r="B7" s="32">
        <v>45869</v>
      </c>
      <c r="C7" s="33">
        <v>46</v>
      </c>
      <c r="D7" s="33">
        <f t="shared" si="9"/>
        <v>48</v>
      </c>
      <c r="E7" s="33">
        <f t="shared" si="10"/>
        <v>51</v>
      </c>
      <c r="F7" s="34">
        <v>29</v>
      </c>
      <c r="G7" s="35">
        <f t="shared" si="11"/>
        <v>58</v>
      </c>
      <c r="H7" s="36">
        <f t="shared" si="12"/>
        <v>62</v>
      </c>
      <c r="I7" s="36">
        <f t="shared" si="13"/>
        <v>68</v>
      </c>
      <c r="J7" s="36">
        <f t="shared" si="14"/>
        <v>78</v>
      </c>
      <c r="K7" s="37">
        <v>27</v>
      </c>
      <c r="L7" s="38">
        <f t="shared" si="15"/>
        <v>87</v>
      </c>
      <c r="M7" s="38">
        <f t="shared" si="16"/>
        <v>96</v>
      </c>
      <c r="N7">
        <f t="shared" si="17"/>
        <v>111</v>
      </c>
    </row>
    <row r="8" spans="1:14" ht="13.8" x14ac:dyDescent="0.25">
      <c r="A8" s="32">
        <v>45870</v>
      </c>
      <c r="B8" s="32">
        <v>45900</v>
      </c>
      <c r="C8" s="33">
        <v>50</v>
      </c>
      <c r="D8" s="33">
        <f t="shared" si="9"/>
        <v>52</v>
      </c>
      <c r="E8" s="33">
        <f t="shared" si="10"/>
        <v>55</v>
      </c>
      <c r="F8" s="34">
        <v>31</v>
      </c>
      <c r="G8" s="35">
        <f t="shared" si="11"/>
        <v>62</v>
      </c>
      <c r="H8" s="36">
        <f t="shared" si="12"/>
        <v>66</v>
      </c>
      <c r="I8" s="36">
        <f t="shared" si="13"/>
        <v>72</v>
      </c>
      <c r="J8" s="36">
        <f t="shared" si="14"/>
        <v>82</v>
      </c>
      <c r="K8" s="37">
        <v>29</v>
      </c>
      <c r="L8" s="38">
        <f t="shared" si="15"/>
        <v>93</v>
      </c>
      <c r="M8" s="38">
        <f t="shared" si="16"/>
        <v>102</v>
      </c>
      <c r="N8">
        <f t="shared" si="17"/>
        <v>117</v>
      </c>
    </row>
    <row r="9" spans="1:14" ht="13.8" x14ac:dyDescent="0.25">
      <c r="A9" s="32">
        <v>45901</v>
      </c>
      <c r="B9" s="32">
        <v>45930</v>
      </c>
      <c r="C9" s="33">
        <v>46</v>
      </c>
      <c r="D9" s="33">
        <f t="shared" si="9"/>
        <v>48</v>
      </c>
      <c r="E9" s="33">
        <f t="shared" si="10"/>
        <v>51</v>
      </c>
      <c r="F9" s="34">
        <v>29</v>
      </c>
      <c r="G9" s="35">
        <f t="shared" si="11"/>
        <v>58</v>
      </c>
      <c r="H9" s="36">
        <f t="shared" si="12"/>
        <v>62</v>
      </c>
      <c r="I9" s="36">
        <f t="shared" si="13"/>
        <v>68</v>
      </c>
      <c r="J9" s="36">
        <f t="shared" si="14"/>
        <v>78</v>
      </c>
      <c r="K9" s="37">
        <v>27</v>
      </c>
      <c r="L9" s="38">
        <f t="shared" si="15"/>
        <v>87</v>
      </c>
      <c r="M9" s="38">
        <f t="shared" si="16"/>
        <v>96</v>
      </c>
      <c r="N9">
        <f t="shared" si="17"/>
        <v>111</v>
      </c>
    </row>
    <row r="10" spans="1:14" ht="13.8" x14ac:dyDescent="0.25">
      <c r="A10" s="32">
        <v>45931</v>
      </c>
      <c r="B10" s="32">
        <v>45961</v>
      </c>
      <c r="C10" s="33">
        <v>50</v>
      </c>
      <c r="D10" s="33">
        <f t="shared" si="9"/>
        <v>52</v>
      </c>
      <c r="E10" s="33">
        <f t="shared" si="10"/>
        <v>55</v>
      </c>
      <c r="F10" s="34">
        <v>31</v>
      </c>
      <c r="G10" s="35">
        <f t="shared" si="11"/>
        <v>62</v>
      </c>
      <c r="H10" s="36">
        <f t="shared" si="12"/>
        <v>66</v>
      </c>
      <c r="I10" s="36">
        <f t="shared" si="13"/>
        <v>72</v>
      </c>
      <c r="J10" s="36">
        <f t="shared" si="14"/>
        <v>82</v>
      </c>
      <c r="K10" s="37">
        <v>29</v>
      </c>
      <c r="L10" s="38">
        <f t="shared" si="15"/>
        <v>93</v>
      </c>
      <c r="M10" s="38">
        <f t="shared" si="16"/>
        <v>102</v>
      </c>
      <c r="N10">
        <f t="shared" si="17"/>
        <v>117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'C:\Users\Area-Credit2\AppData\Local\Microsoft\Windows\INetCache\Content.Outlook\R4F19B9Y\[biblio Globus.xls]rate code'!#REF!</xm:f>
          </x14:formula1>
          <xm:sqref>J1 L1:M1 C1:D1 G1:H1</xm:sqref>
        </x14:dataValidation>
        <x14:dataValidation type="list" allowBlank="1" showInputMessage="1" showErrorMessage="1" xr:uid="{00000000-0002-0000-0500-000001000000}">
          <x14:formula1>
            <xm:f>'C:\Users\Area-Credit2\AppData\Local\Microsoft\Windows\INetCache\Content.Outlook\R4F19B9Y\[biblio  Globus (3).xls]rate code'!#REF!</xm:f>
          </x14:formula1>
          <xm:sqref>I1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statment</vt:lpstr>
      <vt:lpstr>contract</vt:lpstr>
      <vt:lpstr>spo 20.12 to 31.12</vt:lpstr>
      <vt:lpstr>spo 01.01 to 28.01</vt:lpstr>
      <vt:lpstr>spo 29.01 to 15.03</vt:lpstr>
      <vt:lpstr>spo 16.03 to 31.10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2025-07-05T18:51:47Z</dcterms:modified>
</cp:coreProperties>
</file>