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tels\Hotels Invoices\Siva Golden Bay\Invo Nabilla\2026\May 2026\"/>
    </mc:Choice>
  </mc:AlternateContent>
  <xr:revisionPtr revIDLastSave="0" documentId="13_ncr:1_{E7230755-9D8A-4F6D-B9E3-BB168147C80C}" xr6:coauthVersionLast="47" xr6:coauthVersionMax="47" xr10:uidLastSave="{00000000-0000-0000-0000-000000000000}"/>
  <bookViews>
    <workbookView xWindow="-120" yWindow="-120" windowWidth="24240" windowHeight="17640" tabRatio="722" activeTab="2" xr2:uid="{00000000-000D-0000-FFFF-FFFF00000000}"/>
  </bookViews>
  <sheets>
    <sheet name="statment" sheetId="6" r:id="rId1"/>
    <sheet name="contract" sheetId="40" r:id="rId2"/>
    <sheet name="S.P.O from 15.04 to 29.04" sheetId="43" r:id="rId3"/>
    <sheet name="S.P.O from 30.04 to 24.05" sheetId="44" r:id="rId4"/>
    <sheet name="S.P.O from 25.05 to 31.08" sheetId="46" r:id="rId5"/>
  </sheets>
  <externalReferences>
    <externalReference r:id="rId6"/>
    <externalReference r:id="rId7"/>
  </externalReferences>
  <definedNames>
    <definedName name="_xlnm._FilterDatabase" localSheetId="0" hidden="1">statment!$B$1:$J$15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6" l="1"/>
  <c r="J15" i="6" s="1"/>
  <c r="H14" i="6"/>
  <c r="J14" i="6" s="1"/>
  <c r="H13" i="6"/>
  <c r="J13" i="6" s="1"/>
  <c r="I12" i="6"/>
  <c r="H12" i="6"/>
  <c r="H11" i="6"/>
  <c r="J11" i="6" s="1"/>
  <c r="J10" i="6"/>
  <c r="H10" i="6"/>
  <c r="H9" i="6"/>
  <c r="J9" i="6" s="1"/>
  <c r="I8" i="6"/>
  <c r="J8" i="6" s="1"/>
  <c r="H8" i="6"/>
  <c r="I7" i="6"/>
  <c r="H7" i="6"/>
  <c r="I6" i="6"/>
  <c r="J6" i="6" s="1"/>
  <c r="H6" i="6"/>
  <c r="I5" i="6"/>
  <c r="H5" i="6"/>
  <c r="J5" i="6" s="1"/>
  <c r="J4" i="6"/>
  <c r="H4" i="6"/>
  <c r="H3" i="6"/>
  <c r="J3" i="6" s="1"/>
  <c r="H2" i="6"/>
  <c r="J2" i="6" s="1"/>
  <c r="J7" i="6" l="1"/>
  <c r="J12" i="6"/>
  <c r="Q6" i="46" l="1"/>
  <c r="N6" i="46"/>
  <c r="M6" i="46"/>
  <c r="J6" i="46"/>
  <c r="I6" i="46"/>
  <c r="K6" i="46" s="1"/>
  <c r="H6" i="46"/>
  <c r="G6" i="46"/>
  <c r="P6" i="46" s="1"/>
  <c r="Q5" i="46"/>
  <c r="N5" i="46"/>
  <c r="M5" i="46"/>
  <c r="K5" i="46"/>
  <c r="I5" i="46"/>
  <c r="H5" i="46"/>
  <c r="O5" i="46" s="1"/>
  <c r="G5" i="46"/>
  <c r="J5" i="46" s="1"/>
  <c r="N4" i="46"/>
  <c r="I4" i="46"/>
  <c r="K4" i="46" s="1"/>
  <c r="H4" i="46"/>
  <c r="F4" i="46"/>
  <c r="Q4" i="46" s="1"/>
  <c r="E4" i="46"/>
  <c r="G4" i="46" s="1"/>
  <c r="N3" i="46"/>
  <c r="I3" i="46"/>
  <c r="O3" i="46" s="1"/>
  <c r="H3" i="46"/>
  <c r="F3" i="46"/>
  <c r="Q3" i="46" s="1"/>
  <c r="E3" i="46"/>
  <c r="G3" i="46" s="1"/>
  <c r="D3" i="46"/>
  <c r="J2" i="46"/>
  <c r="H2" i="46"/>
  <c r="G2" i="46"/>
  <c r="P2" i="46" s="1"/>
  <c r="F2" i="46"/>
  <c r="N2" i="46" s="1"/>
  <c r="E2" i="46"/>
  <c r="Q8" i="44"/>
  <c r="N8" i="44"/>
  <c r="M8" i="44"/>
  <c r="I8" i="44"/>
  <c r="K8" i="44" s="1"/>
  <c r="H8" i="44"/>
  <c r="O8" i="44" s="1"/>
  <c r="G8" i="44"/>
  <c r="P8" i="44" s="1"/>
  <c r="Q7" i="44"/>
  <c r="N7" i="44"/>
  <c r="M7" i="44"/>
  <c r="K7" i="44"/>
  <c r="I7" i="44"/>
  <c r="H7" i="44"/>
  <c r="O7" i="44" s="1"/>
  <c r="G7" i="44"/>
  <c r="J7" i="44" s="1"/>
  <c r="N6" i="44"/>
  <c r="I6" i="44"/>
  <c r="K6" i="44" s="1"/>
  <c r="H6" i="44"/>
  <c r="O6" i="44" s="1"/>
  <c r="G6" i="44"/>
  <c r="P6" i="44" s="1"/>
  <c r="F6" i="44"/>
  <c r="Q6" i="44" s="1"/>
  <c r="Q5" i="44"/>
  <c r="M5" i="44"/>
  <c r="I5" i="44"/>
  <c r="K5" i="44" s="1"/>
  <c r="H5" i="44"/>
  <c r="O5" i="44" s="1"/>
  <c r="G5" i="44"/>
  <c r="P5" i="44" s="1"/>
  <c r="F5" i="44"/>
  <c r="N5" i="44" s="1"/>
  <c r="H4" i="44"/>
  <c r="G4" i="44"/>
  <c r="J4" i="44" s="1"/>
  <c r="F4" i="44"/>
  <c r="N4" i="44" s="1"/>
  <c r="E4" i="44"/>
  <c r="H3" i="44"/>
  <c r="G3" i="44"/>
  <c r="J3" i="44" s="1"/>
  <c r="F3" i="44"/>
  <c r="N3" i="44" s="1"/>
  <c r="E3" i="44"/>
  <c r="H2" i="44"/>
  <c r="G2" i="44"/>
  <c r="P2" i="44" s="1"/>
  <c r="F2" i="44"/>
  <c r="J2" i="44" s="1"/>
  <c r="N6" i="43"/>
  <c r="J6" i="43"/>
  <c r="H6" i="43"/>
  <c r="G6" i="43"/>
  <c r="P6" i="43" s="1"/>
  <c r="F6" i="43"/>
  <c r="Q6" i="43" s="1"/>
  <c r="J5" i="43"/>
  <c r="H5" i="43"/>
  <c r="G5" i="43"/>
  <c r="P5" i="43" s="1"/>
  <c r="F5" i="43"/>
  <c r="N5" i="43" s="1"/>
  <c r="H4" i="43"/>
  <c r="G4" i="43"/>
  <c r="J4" i="43" s="1"/>
  <c r="F4" i="43"/>
  <c r="N4" i="43" s="1"/>
  <c r="E4" i="43"/>
  <c r="N3" i="43"/>
  <c r="M3" i="43"/>
  <c r="H3" i="43"/>
  <c r="G3" i="43"/>
  <c r="J3" i="43" s="1"/>
  <c r="F3" i="43"/>
  <c r="Q3" i="43" s="1"/>
  <c r="E3" i="43"/>
  <c r="Q2" i="43"/>
  <c r="N2" i="43"/>
  <c r="M2" i="43"/>
  <c r="I2" i="43"/>
  <c r="K2" i="43" s="1"/>
  <c r="H2" i="43"/>
  <c r="O2" i="43" s="1"/>
  <c r="G2" i="43"/>
  <c r="P2" i="43" s="1"/>
  <c r="F2" i="43"/>
  <c r="J2" i="43" s="1"/>
  <c r="C3" i="40"/>
  <c r="D3" i="40"/>
  <c r="D2" i="40"/>
  <c r="C2" i="40" s="1"/>
  <c r="C5" i="40"/>
  <c r="C6" i="40"/>
  <c r="C7" i="40"/>
  <c r="C8" i="40"/>
  <c r="C4" i="40"/>
  <c r="M4" i="43" l="1"/>
  <c r="M5" i="43"/>
  <c r="I4" i="43"/>
  <c r="K4" i="43" s="1"/>
  <c r="Q4" i="43"/>
  <c r="I5" i="43"/>
  <c r="K5" i="43" s="1"/>
  <c r="Q5" i="43"/>
  <c r="I6" i="43"/>
  <c r="K6" i="43" s="1"/>
  <c r="O3" i="43"/>
  <c r="I3" i="43"/>
  <c r="K3" i="43" s="1"/>
  <c r="O5" i="43"/>
  <c r="P3" i="46"/>
  <c r="J3" i="46"/>
  <c r="J4" i="46"/>
  <c r="P4" i="46"/>
  <c r="P5" i="46"/>
  <c r="O4" i="46"/>
  <c r="O6" i="46"/>
  <c r="M2" i="46"/>
  <c r="Q2" i="46"/>
  <c r="K3" i="46"/>
  <c r="I2" i="46"/>
  <c r="M3" i="46"/>
  <c r="M4" i="46"/>
  <c r="O4" i="44"/>
  <c r="P3" i="44"/>
  <c r="M2" i="44"/>
  <c r="Q2" i="44"/>
  <c r="M3" i="44"/>
  <c r="Q3" i="44"/>
  <c r="M4" i="44"/>
  <c r="Q4" i="44"/>
  <c r="J6" i="44"/>
  <c r="J8" i="44"/>
  <c r="P4" i="44"/>
  <c r="I2" i="44"/>
  <c r="K2" i="44" s="1"/>
  <c r="N2" i="44"/>
  <c r="I3" i="44"/>
  <c r="K3" i="44" s="1"/>
  <c r="I4" i="44"/>
  <c r="K4" i="44" s="1"/>
  <c r="J5" i="44"/>
  <c r="P7" i="44"/>
  <c r="M6" i="44"/>
  <c r="P3" i="43"/>
  <c r="P4" i="43"/>
  <c r="M6" i="43"/>
  <c r="J8" i="40"/>
  <c r="G5" i="40"/>
  <c r="J5" i="40" s="1"/>
  <c r="G6" i="40"/>
  <c r="J6" i="40" s="1"/>
  <c r="G7" i="40"/>
  <c r="J7" i="40" s="1"/>
  <c r="G8" i="40"/>
  <c r="G4" i="40"/>
  <c r="J4" i="40" s="1"/>
  <c r="F8" i="40"/>
  <c r="F7" i="40"/>
  <c r="F6" i="40"/>
  <c r="F5" i="40"/>
  <c r="F4" i="40"/>
  <c r="H3" i="40"/>
  <c r="F3" i="40"/>
  <c r="Q3" i="40" s="1"/>
  <c r="F2" i="40"/>
  <c r="J2" i="40" s="1"/>
  <c r="O4" i="43" l="1"/>
  <c r="O6" i="43"/>
  <c r="K2" i="46"/>
  <c r="O2" i="46"/>
  <c r="O3" i="44"/>
  <c r="O2" i="44"/>
  <c r="I2" i="40"/>
  <c r="K2" i="40" s="1"/>
  <c r="Q2" i="40"/>
  <c r="N2" i="40"/>
  <c r="G2" i="40"/>
  <c r="P2" i="40" s="1"/>
  <c r="M2" i="40"/>
  <c r="I3" i="40"/>
  <c r="K3" i="40" s="1"/>
  <c r="N3" i="40"/>
  <c r="J3" i="40"/>
  <c r="G3" i="40"/>
  <c r="P3" i="40" s="1"/>
  <c r="M3" i="40"/>
  <c r="H2" i="40" l="1"/>
  <c r="O2" i="40" s="1"/>
  <c r="O3" i="40"/>
  <c r="H6" i="40"/>
  <c r="P6" i="40"/>
  <c r="N6" i="40"/>
  <c r="Q6" i="40" l="1"/>
  <c r="M6" i="40"/>
  <c r="I6" i="40"/>
  <c r="K6" i="40" s="1"/>
  <c r="O6" i="40" l="1"/>
  <c r="P8" i="40"/>
  <c r="I7" i="40"/>
  <c r="K7" i="40" s="1"/>
  <c r="M7" i="40"/>
  <c r="H7" i="40"/>
  <c r="M5" i="40"/>
  <c r="I5" i="40"/>
  <c r="H5" i="40"/>
  <c r="P7" i="40" l="1"/>
  <c r="K5" i="40"/>
  <c r="O5" i="40"/>
  <c r="O7" i="40"/>
  <c r="P4" i="40"/>
  <c r="Q4" i="40"/>
  <c r="N4" i="40"/>
  <c r="Q5" i="40"/>
  <c r="N5" i="40"/>
  <c r="Q7" i="40"/>
  <c r="N7" i="40"/>
  <c r="M8" i="40"/>
  <c r="Q8" i="40"/>
  <c r="N8" i="40"/>
  <c r="H4" i="40"/>
  <c r="M4" i="40"/>
  <c r="P5" i="40"/>
  <c r="H8" i="40"/>
  <c r="I8" i="40"/>
  <c r="K8" i="40" s="1"/>
  <c r="I4" i="40"/>
  <c r="K4" i="40" s="1"/>
  <c r="O4" i="40" l="1"/>
  <c r="O8" i="40"/>
</calcChain>
</file>

<file path=xl/sharedStrings.xml><?xml version="1.0" encoding="utf-8"?>
<sst xmlns="http://schemas.openxmlformats.org/spreadsheetml/2006/main" count="91" uniqueCount="27">
  <si>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</si>
  <si>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</si>
  <si>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</si>
  <si>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</si>
  <si>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</si>
  <si>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</si>
  <si>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</si>
  <si>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</si>
  <si>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Booking No.</t>
  </si>
  <si>
    <t>Invoice No.</t>
  </si>
  <si>
    <t>SGL-CH</t>
  </si>
  <si>
    <t xml:space="preserve">TPL-BUNG </t>
  </si>
  <si>
    <t xml:space="preserve">DBL-DEX </t>
  </si>
  <si>
    <t>TPL-DEX</t>
  </si>
  <si>
    <t>SGL-DEX</t>
  </si>
  <si>
    <t xml:space="preserve">DBL-BUNG </t>
  </si>
  <si>
    <t>SGL-BUNG</t>
  </si>
  <si>
    <t xml:space="preserve">SGL-J SUIT BAY </t>
  </si>
  <si>
    <t xml:space="preserve">DBL-J SUIT BAY </t>
  </si>
  <si>
    <t>Res_date</t>
  </si>
  <si>
    <t>SGL-DEX(CH)</t>
  </si>
  <si>
    <t>SGL-BUNG (CH)</t>
  </si>
  <si>
    <t>TPL-J SUIT BAY</t>
  </si>
  <si>
    <t xml:space="preserve">DBL-BUNG(CH) </t>
  </si>
  <si>
    <t>d</t>
  </si>
  <si>
    <t>tpl</t>
  </si>
  <si>
    <t>DBL-BUNG (CH)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</si>
</sst>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1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2"/>
      <color indexed="8"/>
      <name val="Times New Roman"/>
      <family val="1"/>
    </font>
    <font>
      <sz val="14"/>
      <color rgb="FFFF0000"/>
      <name val="Times New Roman"/>
      <family val="1"/>
    </font>
    <font>
      <b/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/>
    <xf numFmtId="0" fontId="7" fillId="5" borderId="3" xfId="0" applyFont="1" applyFill="1" applyBorder="1" applyAlignment="1">
      <alignment horizontal="center"/>
    </xf>
    <xf numFmtId="14" fontId="7" fillId="0" borderId="4" xfId="0" applyNumberFormat="1" applyFont="1" applyBorder="1"/>
    <xf numFmtId="0" fontId="7" fillId="3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8" fillId="4" borderId="7" xfId="0" applyNumberFormat="1" applyFont="1" applyFill="1" applyBorder="1" applyAlignment="1">
      <alignment horizontal="center"/>
    </xf>
    <xf numFmtId="14" fontId="0" fillId="0" borderId="0" xfId="0" applyNumberFormat="1"/>
    <xf numFmtId="165" fontId="5" fillId="4" borderId="2" xfId="0" applyNumberFormat="1" applyFont="1" applyFill="1" applyBorder="1" applyAlignment="1">
      <alignment horizontal="center"/>
    </xf>
    <xf numFmtId="0" fontId="0" fillId="6" borderId="0" xfId="0" applyFill="1"/>
    <xf numFmtId="0" fontId="9" fillId="2" borderId="1" xfId="0" applyFont="1" applyFill="1" applyBorder="1" applyAlignment="1">
      <alignment horizontal="center" vertical="center"/>
    </xf>
    <xf numFmtId="0" fontId="0" fillId="7" borderId="0" xfId="0" applyFill="1"/>
    <xf numFmtId="0" fontId="8" fillId="4" borderId="3" xfId="0" applyFont="1" applyFill="1" applyBorder="1" applyAlignment="1">
      <alignment horizontal="center"/>
    </xf>
    <xf numFmtId="165" fontId="10" fillId="4" borderId="8" xfId="0" applyNumberFormat="1" applyFont="1" applyFill="1" applyBorder="1" applyAlignment="1">
      <alignment horizontal="center" vertical="center"/>
    </xf>
    <xf numFmtId="165" fontId="5" fillId="4" borderId="8" xfId="0" applyNumberFormat="1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center"/>
    </xf>
    <xf numFmtId="3" fontId="8" fillId="0" borderId="8" xfId="1" applyNumberFormat="1" applyFont="1" applyFill="1" applyBorder="1" applyAlignment="1">
      <alignment horizontal="center"/>
    </xf>
    <xf numFmtId="164" fontId="8" fillId="0" borderId="3" xfId="1" applyFont="1" applyFill="1" applyBorder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0" fillId="0" borderId="9" xfId="0" applyBorder="1"/>
    <xf numFmtId="0" fontId="7" fillId="3" borderId="9" xfId="0" applyFont="1" applyFill="1" applyBorder="1" applyAlignment="1">
      <alignment horizontal="center"/>
    </xf>
    <xf numFmtId="0" fontId="0" fillId="0" borderId="10" xfId="0" applyBorder="1"/>
    <xf numFmtId="0" fontId="7" fillId="3" borderId="10" xfId="0" applyFont="1" applyFill="1" applyBorder="1" applyAlignment="1">
      <alignment horizontal="center"/>
    </xf>
    <xf numFmtId="0" fontId="0" fillId="0" borderId="11" xfId="0" applyBorder="1"/>
    <xf numFmtId="0" fontId="7" fillId="3" borderId="11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" fontId="8" fillId="4" borderId="8" xfId="0" applyNumberFormat="1" applyFont="1" applyFill="1" applyBorder="1" applyAlignment="1">
      <alignment horizontal="center"/>
    </xf>
    <xf numFmtId="1" fontId="8" fillId="4" borderId="4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165" fontId="10" fillId="4" borderId="4" xfId="0" applyNumberFormat="1" applyFont="1" applyFill="1" applyBorder="1" applyAlignment="1">
      <alignment horizontal="center" vertical="center"/>
    </xf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8</xdr:col>
      <xdr:colOff>753750</xdr:colOff>
      <xdr:row>45</xdr:row>
      <xdr:rowOff>143663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E01B6-2F23-8491-2697-00CD8A689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135750" cy="5649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123825</xdr:rowOff>
    </xdr:from>
    <xdr:to>
      <xdr:col>10</xdr:col>
      <xdr:colOff>991594</xdr:colOff>
      <xdr:row>51</xdr:row>
      <xdr:rowOff>77120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FEF5A-EDED-46E3-A2CA-B28576B04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950" y="2247900"/>
          <a:ext cx="7125694" cy="65922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9</xdr:row>
      <xdr:rowOff>123825</xdr:rowOff>
    </xdr:from>
    <xdr:to>
      <xdr:col>10</xdr:col>
      <xdr:colOff>39118</xdr:colOff>
      <xdr:row>48</xdr:row>
      <xdr:rowOff>124706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72E5C-FA95-4490-AF58-9776FFD4E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762125"/>
          <a:ext cx="7297168" cy="6315956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</xdr:row>
      <xdr:rowOff>85725</xdr:rowOff>
    </xdr:from>
    <xdr:to>
      <xdr:col>18</xdr:col>
      <xdr:colOff>96279</xdr:colOff>
      <xdr:row>47</xdr:row>
      <xdr:rowOff>143790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1FF434-EA6C-4DFC-9FE7-6FF8E58BC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3775" y="1381125"/>
          <a:ext cx="7373379" cy="655411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15</xdr:col>
      <xdr:colOff>239119</xdr:colOff>
      <xdr:row>91</xdr:row>
      <xdr:rowOff>115220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29618D-834B-432D-9CAA-A881B0EE6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0" y="8439150"/>
          <a:ext cx="7125694" cy="6592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7</xdr:row>
      <xdr:rowOff>85725</xdr:rowOff>
    </xdr:from>
    <xdr:to>
      <xdr:col>10</xdr:col>
      <xdr:colOff>58179</xdr:colOff>
      <xdr:row>48</xdr:row>
      <xdr:rowOff>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0C658-F4A4-4B85-96A4-7A237476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362075"/>
          <a:ext cx="7373379" cy="65541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-DE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opLeftCell="B1" workbookViewId="0">
      <selection activeCell="C29" sqref="C29"/>
    </sheetView>
  </sheetViews>
  <sheetFormatPr defaultRowHeight="12.75"/>
  <cols>
    <col min="1" max="1" width="20.7109375" customWidth="1"/>
    <col min="2" max="2" width="24.28515625" bestFit="1" customWidth="1"/>
    <col min="3" max="6" width="20.7109375" customWidth="1"/>
    <col min="7" max="7" width="24" bestFit="1" customWidth="1"/>
    <col min="8" max="10" width="20.7109375" customWidth="1"/>
  </cols>
  <sheetData>
    <row r="1" spans="1:10" ht="20.25" thickTop="1" thickBot="1">
      <c r="B1" s="2" t="s">
        <v>8</v>
      </c>
      <c r="C1" s="2" t="s">
        <v>9</v>
      </c>
      <c r="D1" s="14" t="s">
        <v>19</v>
      </c>
      <c r="E1" s="1" t="s">
        <v>1</v>
      </c>
      <c r="F1" s="1" t="s">
        <v>2</v>
      </c>
      <c r="G1" s="1" t="s">
        <v>3</v>
      </c>
      <c r="H1" s="2" t="s">
        <v>0</v>
      </c>
      <c r="I1" s="2" t="s">
        <v>7</v>
      </c>
      <c r="J1" s="1" t="s">
        <v>4</v>
      </c>
    </row>
    <row r="2" spans="1:10" ht="17.25" thickTop="1" thickBot="1">
      <c r="A2" s="9"/>
      <c r="B2" s="31">
        <v>12331904</v>
      </c>
      <c r="C2" s="16">
        <v>36644</v>
      </c>
      <c r="D2" s="17">
        <v>46134</v>
      </c>
      <c r="E2" s="18">
        <v>46160</v>
      </c>
      <c r="F2" s="19">
        <v>46174</v>
      </c>
      <c r="G2" s="18" t="s">
        <v>14</v>
      </c>
      <c r="H2" s="20">
        <f t="shared" ref="H2:H15" si="0">+F2-E2</f>
        <v>14</v>
      </c>
      <c r="I2" s="21">
        <v>56</v>
      </c>
      <c r="J2" s="22">
        <f t="shared" ref="J2:J15" si="1">+I2*H2</f>
        <v>784</v>
      </c>
    </row>
    <row r="3" spans="1:10" ht="17.25" thickTop="1" thickBot="1">
      <c r="A3" s="9"/>
      <c r="B3" s="32">
        <v>12349643</v>
      </c>
      <c r="C3" s="33">
        <v>36684</v>
      </c>
      <c r="D3" s="34">
        <v>46141</v>
      </c>
      <c r="E3" s="19">
        <v>46168</v>
      </c>
      <c r="F3" s="19">
        <v>46175</v>
      </c>
      <c r="G3" s="18" t="s">
        <v>12</v>
      </c>
      <c r="H3" s="20">
        <f t="shared" si="0"/>
        <v>7</v>
      </c>
      <c r="I3" s="21">
        <v>70</v>
      </c>
      <c r="J3" s="22">
        <f t="shared" si="1"/>
        <v>490</v>
      </c>
    </row>
    <row r="4" spans="1:10" ht="17.25" thickTop="1" thickBot="1">
      <c r="B4" s="32">
        <v>12310597</v>
      </c>
      <c r="C4" s="33">
        <v>36789</v>
      </c>
      <c r="D4" s="34">
        <v>46127</v>
      </c>
      <c r="E4" s="19">
        <v>46167</v>
      </c>
      <c r="F4" s="19">
        <v>46178</v>
      </c>
      <c r="G4" s="18" t="s">
        <v>12</v>
      </c>
      <c r="H4" s="20">
        <f t="shared" si="0"/>
        <v>11</v>
      </c>
      <c r="I4" s="21">
        <v>70</v>
      </c>
      <c r="J4" s="22">
        <f t="shared" si="1"/>
        <v>770</v>
      </c>
    </row>
    <row r="5" spans="1:10" s="13" customFormat="1" ht="17.25" thickTop="1" thickBot="1">
      <c r="B5" s="32">
        <v>12305582</v>
      </c>
      <c r="C5" s="33">
        <v>36790</v>
      </c>
      <c r="D5" s="34">
        <v>46125</v>
      </c>
      <c r="E5" s="19">
        <v>46167</v>
      </c>
      <c r="F5" s="19">
        <v>46178</v>
      </c>
      <c r="G5" s="18" t="s">
        <v>12</v>
      </c>
      <c r="H5" s="20">
        <f t="shared" si="0"/>
        <v>11</v>
      </c>
      <c r="I5" s="21">
        <f>42*2</f>
        <v>84</v>
      </c>
      <c r="J5" s="22">
        <f t="shared" si="1"/>
        <v>924</v>
      </c>
    </row>
    <row r="6" spans="1:10" ht="17.25" thickTop="1" thickBot="1">
      <c r="B6" s="32">
        <v>12306318</v>
      </c>
      <c r="C6" s="33">
        <v>36791</v>
      </c>
      <c r="D6" s="34">
        <v>46125</v>
      </c>
      <c r="E6" s="19">
        <v>46167</v>
      </c>
      <c r="F6" s="19">
        <v>46178</v>
      </c>
      <c r="G6" s="18" t="s">
        <v>12</v>
      </c>
      <c r="H6" s="20">
        <f t="shared" si="0"/>
        <v>11</v>
      </c>
      <c r="I6" s="21">
        <f>42*2</f>
        <v>84</v>
      </c>
      <c r="J6" s="22">
        <f t="shared" si="1"/>
        <v>924</v>
      </c>
    </row>
    <row r="7" spans="1:10" ht="17.25" thickTop="1" thickBot="1">
      <c r="B7" s="32">
        <v>12259568</v>
      </c>
      <c r="C7" s="33">
        <v>36959</v>
      </c>
      <c r="D7" s="34">
        <v>46104</v>
      </c>
      <c r="E7" s="19">
        <v>46169</v>
      </c>
      <c r="F7" s="19">
        <v>46182</v>
      </c>
      <c r="G7" s="18" t="s">
        <v>14</v>
      </c>
      <c r="H7" s="20">
        <f t="shared" si="0"/>
        <v>13</v>
      </c>
      <c r="I7" s="21">
        <f>42*1.6</f>
        <v>67.2</v>
      </c>
      <c r="J7" s="22">
        <f t="shared" si="1"/>
        <v>873.6</v>
      </c>
    </row>
    <row r="8" spans="1:10" ht="17.25" thickTop="1" thickBot="1">
      <c r="B8" s="32">
        <v>12319529</v>
      </c>
      <c r="C8" s="33">
        <v>37158</v>
      </c>
      <c r="D8" s="34">
        <v>46129</v>
      </c>
      <c r="E8" s="19">
        <v>46177</v>
      </c>
      <c r="F8" s="19">
        <v>46187</v>
      </c>
      <c r="G8" s="18" t="s">
        <v>26</v>
      </c>
      <c r="H8" s="20">
        <f t="shared" si="0"/>
        <v>10</v>
      </c>
      <c r="I8" s="21">
        <f>17.5+70+17.5</f>
        <v>105</v>
      </c>
      <c r="J8" s="22">
        <f t="shared" si="1"/>
        <v>1050</v>
      </c>
    </row>
    <row r="9" spans="1:10" ht="17.25" thickTop="1" thickBot="1">
      <c r="B9" s="32">
        <v>12363938</v>
      </c>
      <c r="C9" s="33">
        <v>37203</v>
      </c>
      <c r="D9" s="34">
        <v>46146</v>
      </c>
      <c r="E9" s="19">
        <v>46179</v>
      </c>
      <c r="F9" s="19">
        <v>46188</v>
      </c>
      <c r="G9" s="18" t="s">
        <v>12</v>
      </c>
      <c r="H9" s="20">
        <f t="shared" si="0"/>
        <v>9</v>
      </c>
      <c r="I9" s="21">
        <v>80</v>
      </c>
      <c r="J9" s="22">
        <f t="shared" si="1"/>
        <v>720</v>
      </c>
    </row>
    <row r="10" spans="1:10" ht="17.25" thickTop="1" thickBot="1">
      <c r="B10" s="32">
        <v>12317851</v>
      </c>
      <c r="C10" s="33">
        <v>37337</v>
      </c>
      <c r="D10" s="34">
        <v>46129</v>
      </c>
      <c r="E10" s="19">
        <v>46184</v>
      </c>
      <c r="F10" s="19">
        <v>46191</v>
      </c>
      <c r="G10" s="18" t="s">
        <v>14</v>
      </c>
      <c r="H10" s="20">
        <f t="shared" si="0"/>
        <v>7</v>
      </c>
      <c r="I10" s="21">
        <v>56</v>
      </c>
      <c r="J10" s="22">
        <f t="shared" si="1"/>
        <v>392</v>
      </c>
    </row>
    <row r="11" spans="1:10" ht="17.25" thickTop="1" thickBot="1">
      <c r="B11" s="32">
        <v>12473927</v>
      </c>
      <c r="C11" s="33">
        <v>37347</v>
      </c>
      <c r="D11" s="34">
        <v>46178</v>
      </c>
      <c r="E11" s="19">
        <v>46184</v>
      </c>
      <c r="F11" s="19">
        <v>46192</v>
      </c>
      <c r="G11" s="18" t="s">
        <v>12</v>
      </c>
      <c r="H11" s="20">
        <f t="shared" si="0"/>
        <v>8</v>
      </c>
      <c r="I11" s="21">
        <v>80</v>
      </c>
      <c r="J11" s="22">
        <f t="shared" si="1"/>
        <v>640</v>
      </c>
    </row>
    <row r="12" spans="1:10" ht="17.25" thickTop="1" thickBot="1">
      <c r="B12" s="32">
        <v>56100387</v>
      </c>
      <c r="C12" s="33">
        <v>37451</v>
      </c>
      <c r="D12" s="34">
        <v>46186</v>
      </c>
      <c r="E12" s="19">
        <v>46193</v>
      </c>
      <c r="F12" s="19">
        <v>46194</v>
      </c>
      <c r="G12" s="18" t="s">
        <v>26</v>
      </c>
      <c r="H12" s="20">
        <f t="shared" si="0"/>
        <v>1</v>
      </c>
      <c r="I12" s="21">
        <f>80+20+7+7+3.5</f>
        <v>117.5</v>
      </c>
      <c r="J12" s="22">
        <f t="shared" si="1"/>
        <v>117.5</v>
      </c>
    </row>
    <row r="13" spans="1:10" ht="17.25" thickTop="1" thickBot="1">
      <c r="B13" s="32">
        <v>12424388</v>
      </c>
      <c r="C13" s="33">
        <v>37682</v>
      </c>
      <c r="D13" s="34">
        <v>46165</v>
      </c>
      <c r="E13" s="19">
        <v>46187</v>
      </c>
      <c r="F13" s="19">
        <v>46200</v>
      </c>
      <c r="G13" s="18" t="s">
        <v>12</v>
      </c>
      <c r="H13" s="20">
        <f t="shared" si="0"/>
        <v>13</v>
      </c>
      <c r="I13" s="21">
        <v>80</v>
      </c>
      <c r="J13" s="22">
        <f t="shared" si="1"/>
        <v>1040</v>
      </c>
    </row>
    <row r="14" spans="1:10" ht="17.25" thickTop="1" thickBot="1">
      <c r="B14" s="32">
        <v>12405839</v>
      </c>
      <c r="C14" s="33">
        <v>37758</v>
      </c>
      <c r="D14" s="34">
        <v>46160</v>
      </c>
      <c r="E14" s="19">
        <v>46192</v>
      </c>
      <c r="F14" s="19">
        <v>46201</v>
      </c>
      <c r="G14" s="18" t="s">
        <v>12</v>
      </c>
      <c r="H14" s="20">
        <f t="shared" si="0"/>
        <v>9</v>
      </c>
      <c r="I14" s="21">
        <v>80</v>
      </c>
      <c r="J14" s="22">
        <f t="shared" si="1"/>
        <v>720</v>
      </c>
    </row>
    <row r="15" spans="1:10" ht="16.5" thickTop="1">
      <c r="B15" s="32">
        <v>12435905</v>
      </c>
      <c r="C15" s="33">
        <v>37759</v>
      </c>
      <c r="D15" s="34">
        <v>46168</v>
      </c>
      <c r="E15" s="19">
        <v>46191</v>
      </c>
      <c r="F15" s="19">
        <v>46201</v>
      </c>
      <c r="G15" s="18" t="s">
        <v>12</v>
      </c>
      <c r="H15" s="20">
        <f t="shared" si="0"/>
        <v>10</v>
      </c>
      <c r="I15" s="21">
        <v>80</v>
      </c>
      <c r="J15" s="22">
        <f t="shared" si="1"/>
        <v>800</v>
      </c>
    </row>
  </sheetData>
  <autoFilter ref="B1:J1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workbookViewId="0">
      <selection activeCell="L21" sqref="L21"/>
    </sheetView>
  </sheetViews>
  <sheetFormatPr defaultRowHeight="12.75"/>
  <cols>
    <col min="1" max="10" width="15.7109375" customWidth="1"/>
    <col min="11" max="11" width="24" bestFit="1" customWidth="1"/>
    <col min="13" max="14" width="17.42578125" bestFit="1" customWidth="1"/>
    <col min="15" max="15" width="16.85546875" bestFit="1" customWidth="1"/>
    <col min="16" max="16" width="16.42578125" bestFit="1" customWidth="1"/>
    <col min="17" max="17" width="12.5703125" bestFit="1" customWidth="1"/>
  </cols>
  <sheetData>
    <row r="1" spans="1:17" ht="17.25" thickTop="1" thickBot="1">
      <c r="A1" s="3" t="s">
        <v>5</v>
      </c>
      <c r="B1" s="4" t="s">
        <v>6</v>
      </c>
      <c r="C1" s="12" t="s">
        <v>14</v>
      </c>
      <c r="D1" s="12" t="s">
        <v>24</v>
      </c>
      <c r="E1" s="12" t="s">
        <v>25</v>
      </c>
      <c r="F1" s="12" t="s">
        <v>12</v>
      </c>
      <c r="G1" s="12" t="s">
        <v>13</v>
      </c>
      <c r="H1" s="12" t="s">
        <v>16</v>
      </c>
      <c r="I1" s="12" t="s">
        <v>15</v>
      </c>
      <c r="J1" s="12" t="s">
        <v>11</v>
      </c>
      <c r="K1" s="12" t="s">
        <v>23</v>
      </c>
      <c r="L1" s="10" t="s">
        <v>10</v>
      </c>
      <c r="M1" s="12" t="s">
        <v>17</v>
      </c>
      <c r="N1" s="12" t="s">
        <v>18</v>
      </c>
      <c r="O1" s="12" t="s">
        <v>21</v>
      </c>
      <c r="P1" s="12" t="s">
        <v>22</v>
      </c>
      <c r="Q1" t="s">
        <v>20</v>
      </c>
    </row>
    <row r="2" spans="1:17" ht="15" thickTop="1">
      <c r="A2" s="6">
        <v>46113</v>
      </c>
      <c r="B2" s="6">
        <v>46122</v>
      </c>
      <c r="C2" s="7">
        <f>+D2*1.6</f>
        <v>88</v>
      </c>
      <c r="D2" s="7">
        <f>110/2</f>
        <v>55</v>
      </c>
      <c r="E2" s="7"/>
      <c r="F2" s="7">
        <f>55*2</f>
        <v>110</v>
      </c>
      <c r="G2" s="7">
        <f t="shared" ref="G2" si="0">+((F2/2)-3)*3</f>
        <v>156</v>
      </c>
      <c r="H2" s="7">
        <f t="shared" ref="H2" si="1">+C2+7</f>
        <v>95</v>
      </c>
      <c r="I2" s="7">
        <f t="shared" ref="I2" si="2">+F2+14</f>
        <v>124</v>
      </c>
      <c r="J2" s="5">
        <f t="shared" ref="J2" si="3">+((F2/2)-3+7)*3</f>
        <v>177</v>
      </c>
      <c r="K2" s="23">
        <f t="shared" ref="K2:K3" si="4">+(I2/2)*2.5</f>
        <v>155</v>
      </c>
      <c r="L2" s="23"/>
      <c r="M2" s="24">
        <f t="shared" ref="M2:M3" si="5">+F2+24</f>
        <v>134</v>
      </c>
      <c r="N2" s="23">
        <f t="shared" ref="N2:N3" si="6">+F2+24</f>
        <v>134</v>
      </c>
      <c r="O2" s="23">
        <f t="shared" ref="O2:O3" si="7">+H2+(I2/4)</f>
        <v>126</v>
      </c>
      <c r="P2" s="23">
        <f t="shared" ref="P2:P3" si="8">+G2+36</f>
        <v>192</v>
      </c>
      <c r="Q2" s="23">
        <f t="shared" ref="Q2:Q3" si="9">+C2+(F2/4)</f>
        <v>115.5</v>
      </c>
    </row>
    <row r="3" spans="1:17" ht="14.25">
      <c r="A3" s="6">
        <v>46123</v>
      </c>
      <c r="B3" s="6">
        <v>46142</v>
      </c>
      <c r="C3" s="7">
        <f>+D3*1.6</f>
        <v>75.2</v>
      </c>
      <c r="D3" s="7">
        <f>94/2</f>
        <v>47</v>
      </c>
      <c r="E3" s="7"/>
      <c r="F3" s="7">
        <f>47*2</f>
        <v>94</v>
      </c>
      <c r="G3" s="7">
        <f>+((F3/2)-3)*3</f>
        <v>132</v>
      </c>
      <c r="H3" s="7">
        <f>+C3+7</f>
        <v>82.2</v>
      </c>
      <c r="I3" s="7">
        <f>+F3+14</f>
        <v>108</v>
      </c>
      <c r="J3" s="8">
        <f>+((F3/2)-3+7)*3</f>
        <v>153</v>
      </c>
      <c r="K3" s="25">
        <f t="shared" si="4"/>
        <v>135</v>
      </c>
      <c r="L3" s="25"/>
      <c r="M3" s="26">
        <f t="shared" si="5"/>
        <v>118</v>
      </c>
      <c r="N3" s="25">
        <f t="shared" si="6"/>
        <v>118</v>
      </c>
      <c r="O3" s="25">
        <f t="shared" si="7"/>
        <v>109.2</v>
      </c>
      <c r="P3" s="25">
        <f t="shared" si="8"/>
        <v>168</v>
      </c>
      <c r="Q3" s="25">
        <f t="shared" si="9"/>
        <v>98.7</v>
      </c>
    </row>
    <row r="4" spans="1:17" ht="14.25">
      <c r="A4" s="6">
        <v>46143</v>
      </c>
      <c r="B4" s="6">
        <v>46152</v>
      </c>
      <c r="C4" s="7">
        <f>+D4*1.6</f>
        <v>89.600000000000009</v>
      </c>
      <c r="D4" s="7">
        <v>56</v>
      </c>
      <c r="E4" s="7">
        <v>53</v>
      </c>
      <c r="F4" s="7">
        <f>+D4*2</f>
        <v>112</v>
      </c>
      <c r="G4" s="7">
        <f>+E4*3</f>
        <v>159</v>
      </c>
      <c r="H4" s="7">
        <f t="shared" ref="H4:H8" si="10">+C4+7</f>
        <v>96.600000000000009</v>
      </c>
      <c r="I4" s="7">
        <f>+F4+14</f>
        <v>126</v>
      </c>
      <c r="J4" s="8">
        <f>+G4+21</f>
        <v>180</v>
      </c>
      <c r="K4" s="25">
        <f t="shared" ref="K4:K8" si="11">+(I4/2)*2.5</f>
        <v>157.5</v>
      </c>
      <c r="L4" s="25"/>
      <c r="M4" s="26">
        <f t="shared" ref="M4:M8" si="12">+F4+24</f>
        <v>136</v>
      </c>
      <c r="N4" s="25">
        <f t="shared" ref="N4:N8" si="13">+F4+24</f>
        <v>136</v>
      </c>
      <c r="O4" s="25">
        <f t="shared" ref="O4:O8" si="14">+H4+(I4/4)</f>
        <v>128.10000000000002</v>
      </c>
      <c r="P4" s="25">
        <f t="shared" ref="P4:P8" si="15">+G4+36</f>
        <v>195</v>
      </c>
      <c r="Q4" s="25">
        <f t="shared" ref="Q4:Q8" si="16">+C4+(F4/4)</f>
        <v>117.60000000000001</v>
      </c>
    </row>
    <row r="5" spans="1:17" s="15" customFormat="1" ht="14.25">
      <c r="A5" s="6">
        <v>46153</v>
      </c>
      <c r="B5" s="6">
        <v>46166</v>
      </c>
      <c r="C5" s="7">
        <f t="shared" ref="C5:C8" si="17">+D5*1.6</f>
        <v>72</v>
      </c>
      <c r="D5" s="29">
        <v>45</v>
      </c>
      <c r="E5" s="29">
        <v>42</v>
      </c>
      <c r="F5" s="7">
        <f t="shared" ref="F5:F8" si="18">+D5*2</f>
        <v>90</v>
      </c>
      <c r="G5" s="7">
        <f t="shared" ref="G5:G8" si="19">+E5*3</f>
        <v>126</v>
      </c>
      <c r="H5" s="29">
        <f t="shared" si="10"/>
        <v>79</v>
      </c>
      <c r="I5" s="29">
        <f t="shared" ref="I5:I8" si="20">+F5+14</f>
        <v>104</v>
      </c>
      <c r="J5" s="8">
        <f t="shared" ref="J5:J8" si="21">+G5+21</f>
        <v>147</v>
      </c>
      <c r="K5" s="25">
        <f t="shared" si="11"/>
        <v>130</v>
      </c>
      <c r="L5" s="25"/>
      <c r="M5" s="30">
        <f t="shared" si="12"/>
        <v>114</v>
      </c>
      <c r="N5" s="25">
        <f t="shared" si="13"/>
        <v>114</v>
      </c>
      <c r="O5" s="25">
        <f t="shared" si="14"/>
        <v>105</v>
      </c>
      <c r="P5" s="25">
        <f t="shared" si="15"/>
        <v>162</v>
      </c>
      <c r="Q5" s="25">
        <f t="shared" si="16"/>
        <v>94.5</v>
      </c>
    </row>
    <row r="6" spans="1:17" s="15" customFormat="1" ht="14.25">
      <c r="A6" s="6">
        <v>46167</v>
      </c>
      <c r="B6" s="6">
        <v>46203</v>
      </c>
      <c r="C6" s="7">
        <f t="shared" si="17"/>
        <v>67.2</v>
      </c>
      <c r="D6" s="29">
        <v>42</v>
      </c>
      <c r="E6" s="29">
        <v>39</v>
      </c>
      <c r="F6" s="7">
        <f t="shared" si="18"/>
        <v>84</v>
      </c>
      <c r="G6" s="7">
        <f t="shared" si="19"/>
        <v>117</v>
      </c>
      <c r="H6" s="29">
        <f t="shared" ref="H6" si="22">+C6+7</f>
        <v>74.2</v>
      </c>
      <c r="I6" s="29">
        <f t="shared" ref="I6" si="23">+F6+14</f>
        <v>98</v>
      </c>
      <c r="J6" s="8">
        <f t="shared" si="21"/>
        <v>138</v>
      </c>
      <c r="K6" s="25">
        <f t="shared" ref="K6" si="24">+(I6/2)*2.5</f>
        <v>122.5</v>
      </c>
      <c r="L6" s="25"/>
      <c r="M6" s="30">
        <f t="shared" ref="M6" si="25">+F6+24</f>
        <v>108</v>
      </c>
      <c r="N6" s="25">
        <f t="shared" ref="N6" si="26">+F6+24</f>
        <v>108</v>
      </c>
      <c r="O6" s="25">
        <f t="shared" si="14"/>
        <v>98.7</v>
      </c>
      <c r="P6" s="25">
        <f t="shared" si="15"/>
        <v>153</v>
      </c>
      <c r="Q6" s="25">
        <f t="shared" si="16"/>
        <v>88.2</v>
      </c>
    </row>
    <row r="7" spans="1:17" ht="14.25">
      <c r="A7" s="6">
        <v>46204</v>
      </c>
      <c r="B7" s="6">
        <v>46234</v>
      </c>
      <c r="C7" s="7">
        <f t="shared" si="17"/>
        <v>89.600000000000009</v>
      </c>
      <c r="D7" s="7">
        <v>56</v>
      </c>
      <c r="E7" s="7">
        <v>53</v>
      </c>
      <c r="F7" s="7">
        <f t="shared" si="18"/>
        <v>112</v>
      </c>
      <c r="G7" s="7">
        <f t="shared" si="19"/>
        <v>159</v>
      </c>
      <c r="H7" s="7">
        <f t="shared" si="10"/>
        <v>96.600000000000009</v>
      </c>
      <c r="I7" s="7">
        <f t="shared" si="20"/>
        <v>126</v>
      </c>
      <c r="J7" s="8">
        <f t="shared" si="21"/>
        <v>180</v>
      </c>
      <c r="K7" s="25">
        <f t="shared" si="11"/>
        <v>157.5</v>
      </c>
      <c r="L7" s="25"/>
      <c r="M7" s="26">
        <f t="shared" si="12"/>
        <v>136</v>
      </c>
      <c r="N7" s="25">
        <f t="shared" si="13"/>
        <v>136</v>
      </c>
      <c r="O7" s="25">
        <f t="shared" si="14"/>
        <v>128.10000000000002</v>
      </c>
      <c r="P7" s="25">
        <f t="shared" si="15"/>
        <v>195</v>
      </c>
      <c r="Q7" s="25">
        <f t="shared" si="16"/>
        <v>117.60000000000001</v>
      </c>
    </row>
    <row r="8" spans="1:17" ht="14.25">
      <c r="A8" s="6">
        <v>46235</v>
      </c>
      <c r="B8" s="6">
        <v>46326</v>
      </c>
      <c r="C8" s="7">
        <f t="shared" si="17"/>
        <v>96</v>
      </c>
      <c r="D8" s="7">
        <v>60</v>
      </c>
      <c r="E8" s="7">
        <v>57</v>
      </c>
      <c r="F8" s="7">
        <f t="shared" si="18"/>
        <v>120</v>
      </c>
      <c r="G8" s="7">
        <f t="shared" si="19"/>
        <v>171</v>
      </c>
      <c r="H8" s="7">
        <f t="shared" si="10"/>
        <v>103</v>
      </c>
      <c r="I8" s="7">
        <f t="shared" si="20"/>
        <v>134</v>
      </c>
      <c r="J8" s="8">
        <f t="shared" si="21"/>
        <v>192</v>
      </c>
      <c r="K8" s="25">
        <f t="shared" si="11"/>
        <v>167.5</v>
      </c>
      <c r="L8" s="25"/>
      <c r="M8" s="26">
        <f t="shared" si="12"/>
        <v>144</v>
      </c>
      <c r="N8" s="25">
        <f t="shared" si="13"/>
        <v>144</v>
      </c>
      <c r="O8" s="25">
        <f t="shared" si="14"/>
        <v>136.5</v>
      </c>
      <c r="P8" s="25">
        <f t="shared" si="15"/>
        <v>207</v>
      </c>
      <c r="Q8" s="25">
        <f t="shared" si="16"/>
        <v>126</v>
      </c>
    </row>
    <row r="37" spans="7:7">
      <c r="G37" s="11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'C:\Users\Area-Credit2\AppData\Local\Microsoft\Windows\INetCache\Content.Outlook\R4F19B9Y\[biblio -DEC.xlsx]ROOM TYPE'!#REF!</xm:f>
          </x14:formula1>
          <xm:sqref>G1</xm:sqref>
        </x14:dataValidation>
        <x14:dataValidation type="list" allowBlank="1" showInputMessage="1" showErrorMessage="1" xr:uid="{00000000-0002-0000-0100-000001000000}">
          <x14:formula1>
            <xm:f>'C:\Users\Area-Credit2\AppData\Local\Microsoft\Windows\INetCache\Content.Outlook\R4F19B9Y\[biblio Globus.xls]rate code'!#REF!</xm:f>
          </x14:formula1>
          <xm:sqref>K1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96F5-28C7-4FC4-8934-67E1DC4D14BD}">
  <dimension ref="A1:Q6"/>
  <sheetViews>
    <sheetView tabSelected="1" workbookViewId="0">
      <selection activeCell="A7" sqref="A7"/>
    </sheetView>
  </sheetViews>
  <sheetFormatPr defaultRowHeight="12.75"/>
  <cols>
    <col min="1" max="2" width="11.28515625" bestFit="1" customWidth="1"/>
    <col min="3" max="3" width="10.140625" bestFit="1" customWidth="1"/>
    <col min="4" max="4" width="10.7109375" bestFit="1" customWidth="1"/>
    <col min="6" max="6" width="11.7109375" bestFit="1" customWidth="1"/>
    <col min="7" max="7" width="12.28515625" bestFit="1" customWidth="1"/>
    <col min="8" max="8" width="12" bestFit="1" customWidth="1"/>
    <col min="9" max="9" width="16.85546875" bestFit="1" customWidth="1"/>
    <col min="11" max="12" width="17.42578125" bestFit="1" customWidth="1"/>
    <col min="13" max="13" width="16.85546875" bestFit="1" customWidth="1"/>
    <col min="14" max="14" width="16.42578125" bestFit="1" customWidth="1"/>
  </cols>
  <sheetData>
    <row r="1" spans="1:17" ht="16.5" thickTop="1">
      <c r="A1" s="3" t="s">
        <v>5</v>
      </c>
      <c r="B1" s="4" t="s">
        <v>6</v>
      </c>
      <c r="C1" s="12" t="s">
        <v>14</v>
      </c>
      <c r="D1" s="12" t="s">
        <v>24</v>
      </c>
      <c r="E1" s="12" t="s">
        <v>25</v>
      </c>
      <c r="F1" s="12" t="s">
        <v>12</v>
      </c>
      <c r="G1" s="12" t="s">
        <v>13</v>
      </c>
      <c r="H1" s="12" t="s">
        <v>16</v>
      </c>
      <c r="I1" s="12" t="s">
        <v>15</v>
      </c>
      <c r="J1" s="12" t="s">
        <v>11</v>
      </c>
      <c r="K1" s="12" t="s">
        <v>23</v>
      </c>
      <c r="L1" s="10" t="s">
        <v>10</v>
      </c>
      <c r="M1" s="12" t="s">
        <v>17</v>
      </c>
      <c r="N1" s="12" t="s">
        <v>18</v>
      </c>
      <c r="O1" s="12" t="s">
        <v>21</v>
      </c>
      <c r="P1" s="12" t="s">
        <v>22</v>
      </c>
      <c r="Q1" t="s">
        <v>20</v>
      </c>
    </row>
    <row r="2" spans="1:17" ht="14.25">
      <c r="A2" s="6">
        <v>46127</v>
      </c>
      <c r="B2" s="6">
        <v>46142</v>
      </c>
      <c r="C2" s="7">
        <v>75</v>
      </c>
      <c r="D2" s="7">
        <v>40</v>
      </c>
      <c r="E2" s="7">
        <v>37</v>
      </c>
      <c r="F2" s="7">
        <f>47*2</f>
        <v>94</v>
      </c>
      <c r="G2" s="7">
        <f>+((F2/2)-3)*3</f>
        <v>132</v>
      </c>
      <c r="H2" s="7">
        <f>+C2+7</f>
        <v>82</v>
      </c>
      <c r="I2" s="7">
        <f>+F2+14</f>
        <v>108</v>
      </c>
      <c r="J2" s="8">
        <f>+((F2/2)-3+7)*3</f>
        <v>153</v>
      </c>
      <c r="K2" s="25">
        <f t="shared" ref="K2:K6" si="0">+(I2/2)*2.5</f>
        <v>135</v>
      </c>
      <c r="L2" s="25"/>
      <c r="M2" s="26">
        <f t="shared" ref="M2:M6" si="1">+F2+24</f>
        <v>118</v>
      </c>
      <c r="N2" s="25">
        <f t="shared" ref="N2:N6" si="2">+F2+24</f>
        <v>118</v>
      </c>
      <c r="O2" s="25">
        <f t="shared" ref="O2:O6" si="3">+H2+(I2/4)</f>
        <v>109</v>
      </c>
      <c r="P2" s="25">
        <f t="shared" ref="P2:P6" si="4">+G2+36</f>
        <v>168</v>
      </c>
      <c r="Q2" s="25">
        <f t="shared" ref="Q2:Q6" si="5">+C2+(F2/4)</f>
        <v>98.5</v>
      </c>
    </row>
    <row r="3" spans="1:17" ht="14.25">
      <c r="A3" s="6">
        <v>46143</v>
      </c>
      <c r="B3" s="6">
        <v>46152</v>
      </c>
      <c r="C3" s="7">
        <v>64</v>
      </c>
      <c r="D3" s="7">
        <v>40</v>
      </c>
      <c r="E3" s="7">
        <f>111/3</f>
        <v>37</v>
      </c>
      <c r="F3" s="7">
        <f>+D3*2</f>
        <v>80</v>
      </c>
      <c r="G3" s="7">
        <f>+E3*3</f>
        <v>111</v>
      </c>
      <c r="H3" s="7">
        <f t="shared" ref="H3:H6" si="6">+C3+7</f>
        <v>71</v>
      </c>
      <c r="I3" s="7">
        <f>+F3+14</f>
        <v>94</v>
      </c>
      <c r="J3" s="8">
        <f>+G3+21</f>
        <v>132</v>
      </c>
      <c r="K3" s="25">
        <f t="shared" si="0"/>
        <v>117.5</v>
      </c>
      <c r="L3" s="25"/>
      <c r="M3" s="26">
        <f t="shared" si="1"/>
        <v>104</v>
      </c>
      <c r="N3" s="25">
        <f t="shared" si="2"/>
        <v>104</v>
      </c>
      <c r="O3" s="25">
        <f t="shared" si="3"/>
        <v>94.5</v>
      </c>
      <c r="P3" s="25">
        <f t="shared" si="4"/>
        <v>147</v>
      </c>
      <c r="Q3" s="25">
        <f t="shared" si="5"/>
        <v>84</v>
      </c>
    </row>
    <row r="4" spans="1:17" s="15" customFormat="1" ht="14.25">
      <c r="A4" s="6">
        <v>46153</v>
      </c>
      <c r="B4" s="6">
        <v>46203</v>
      </c>
      <c r="C4" s="29">
        <v>56</v>
      </c>
      <c r="D4" s="29">
        <v>35</v>
      </c>
      <c r="E4" s="29">
        <f>96/3</f>
        <v>32</v>
      </c>
      <c r="F4" s="7">
        <f t="shared" ref="F4:F6" si="7">+D4*2</f>
        <v>70</v>
      </c>
      <c r="G4" s="7">
        <f t="shared" ref="G4:G6" si="8">+E4*3</f>
        <v>96</v>
      </c>
      <c r="H4" s="29">
        <f t="shared" si="6"/>
        <v>63</v>
      </c>
      <c r="I4" s="29">
        <f t="shared" ref="I4:I6" si="9">+F4+14</f>
        <v>84</v>
      </c>
      <c r="J4" s="8">
        <f t="shared" ref="J4:J6" si="10">+G4+21</f>
        <v>117</v>
      </c>
      <c r="K4" s="25">
        <f t="shared" si="0"/>
        <v>105</v>
      </c>
      <c r="L4" s="25"/>
      <c r="M4" s="30">
        <f t="shared" si="1"/>
        <v>94</v>
      </c>
      <c r="N4" s="25">
        <f t="shared" si="2"/>
        <v>94</v>
      </c>
      <c r="O4" s="25">
        <f t="shared" si="3"/>
        <v>84</v>
      </c>
      <c r="P4" s="25">
        <f t="shared" si="4"/>
        <v>132</v>
      </c>
      <c r="Q4" s="25">
        <f t="shared" si="5"/>
        <v>73.5</v>
      </c>
    </row>
    <row r="5" spans="1:17" ht="14.25">
      <c r="A5" s="6">
        <v>46204</v>
      </c>
      <c r="B5" s="6">
        <v>46234</v>
      </c>
      <c r="C5" s="7">
        <v>90</v>
      </c>
      <c r="D5" s="7">
        <v>56</v>
      </c>
      <c r="E5" s="7">
        <v>53</v>
      </c>
      <c r="F5" s="7">
        <f t="shared" si="7"/>
        <v>112</v>
      </c>
      <c r="G5" s="7">
        <f t="shared" si="8"/>
        <v>159</v>
      </c>
      <c r="H5" s="7">
        <f t="shared" si="6"/>
        <v>97</v>
      </c>
      <c r="I5" s="7">
        <f t="shared" si="9"/>
        <v>126</v>
      </c>
      <c r="J5" s="8">
        <f t="shared" si="10"/>
        <v>180</v>
      </c>
      <c r="K5" s="25">
        <f t="shared" si="0"/>
        <v>157.5</v>
      </c>
      <c r="L5" s="25"/>
      <c r="M5" s="26">
        <f t="shared" si="1"/>
        <v>136</v>
      </c>
      <c r="N5" s="25">
        <f t="shared" si="2"/>
        <v>136</v>
      </c>
      <c r="O5" s="25">
        <f t="shared" si="3"/>
        <v>128.5</v>
      </c>
      <c r="P5" s="25">
        <f t="shared" si="4"/>
        <v>195</v>
      </c>
      <c r="Q5" s="25">
        <f t="shared" si="5"/>
        <v>118</v>
      </c>
    </row>
    <row r="6" spans="1:17" ht="14.25">
      <c r="A6" s="6">
        <v>46235</v>
      </c>
      <c r="B6" s="6">
        <v>46326</v>
      </c>
      <c r="C6" s="7">
        <v>96</v>
      </c>
      <c r="D6" s="7">
        <v>60</v>
      </c>
      <c r="E6" s="7">
        <v>57</v>
      </c>
      <c r="F6" s="7">
        <f t="shared" si="7"/>
        <v>120</v>
      </c>
      <c r="G6" s="7">
        <f t="shared" si="8"/>
        <v>171</v>
      </c>
      <c r="H6" s="7">
        <f t="shared" si="6"/>
        <v>103</v>
      </c>
      <c r="I6" s="7">
        <f t="shared" si="9"/>
        <v>134</v>
      </c>
      <c r="J6" s="8">
        <f t="shared" si="10"/>
        <v>192</v>
      </c>
      <c r="K6" s="25">
        <f t="shared" si="0"/>
        <v>167.5</v>
      </c>
      <c r="L6" s="25"/>
      <c r="M6" s="26">
        <f t="shared" si="1"/>
        <v>144</v>
      </c>
      <c r="N6" s="25">
        <f t="shared" si="2"/>
        <v>144</v>
      </c>
      <c r="O6" s="25">
        <f t="shared" si="3"/>
        <v>136.5</v>
      </c>
      <c r="P6" s="25">
        <f t="shared" si="4"/>
        <v>207</v>
      </c>
      <c r="Q6" s="25">
        <f t="shared" si="5"/>
        <v>126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6AA1-C074-4C8A-9EFC-8E4E64BBB96A}">
  <dimension ref="A1:Q8"/>
  <sheetViews>
    <sheetView workbookViewId="0">
      <selection activeCell="B57" sqref="B57"/>
    </sheetView>
  </sheetViews>
  <sheetFormatPr defaultRowHeight="12.75"/>
  <cols>
    <col min="1" max="2" width="11.28515625" bestFit="1" customWidth="1"/>
    <col min="3" max="3" width="10.140625" bestFit="1" customWidth="1"/>
    <col min="4" max="4" width="10.7109375" bestFit="1" customWidth="1"/>
    <col min="6" max="6" width="11.7109375" bestFit="1" customWidth="1"/>
    <col min="7" max="7" width="12.28515625" bestFit="1" customWidth="1"/>
    <col min="8" max="8" width="12" bestFit="1" customWidth="1"/>
    <col min="9" max="9" width="16.85546875" bestFit="1" customWidth="1"/>
    <col min="11" max="12" width="17.42578125" bestFit="1" customWidth="1"/>
    <col min="13" max="13" width="16.85546875" bestFit="1" customWidth="1"/>
    <col min="14" max="14" width="16.42578125" bestFit="1" customWidth="1"/>
  </cols>
  <sheetData>
    <row r="1" spans="1:17" ht="16.5" thickTop="1">
      <c r="A1" s="3" t="s">
        <v>5</v>
      </c>
      <c r="B1" s="4" t="s">
        <v>6</v>
      </c>
      <c r="C1" s="12" t="s">
        <v>14</v>
      </c>
      <c r="D1" s="12" t="s">
        <v>24</v>
      </c>
      <c r="E1" s="12" t="s">
        <v>25</v>
      </c>
      <c r="F1" s="12" t="s">
        <v>12</v>
      </c>
      <c r="G1" s="12" t="s">
        <v>13</v>
      </c>
      <c r="H1" s="12" t="s">
        <v>16</v>
      </c>
      <c r="I1" s="12" t="s">
        <v>15</v>
      </c>
      <c r="J1" s="12" t="s">
        <v>11</v>
      </c>
      <c r="K1" s="12" t="s">
        <v>23</v>
      </c>
      <c r="L1" s="10" t="s">
        <v>10</v>
      </c>
      <c r="M1" s="12" t="s">
        <v>17</v>
      </c>
      <c r="N1" s="12" t="s">
        <v>18</v>
      </c>
      <c r="O1" s="12" t="s">
        <v>21</v>
      </c>
      <c r="P1" s="12" t="s">
        <v>22</v>
      </c>
      <c r="Q1" t="s">
        <v>20</v>
      </c>
    </row>
    <row r="2" spans="1:17" ht="14.25">
      <c r="A2" s="6">
        <v>46142</v>
      </c>
      <c r="B2" s="6">
        <v>46142</v>
      </c>
      <c r="C2" s="7">
        <v>75</v>
      </c>
      <c r="D2" s="7"/>
      <c r="E2" s="7"/>
      <c r="F2" s="7">
        <f>47*2</f>
        <v>94</v>
      </c>
      <c r="G2" s="7">
        <f>+((F2/2)-3)*3</f>
        <v>132</v>
      </c>
      <c r="H2" s="7">
        <f>+C2+7</f>
        <v>82</v>
      </c>
      <c r="I2" s="7">
        <f>+F2+14</f>
        <v>108</v>
      </c>
      <c r="J2" s="8">
        <f>+((F2/2)-3+7)*3</f>
        <v>153</v>
      </c>
      <c r="K2" s="25">
        <f t="shared" ref="K2:K8" si="0">+(I2/2)*2.5</f>
        <v>135</v>
      </c>
      <c r="L2" s="25"/>
      <c r="M2" s="26">
        <f t="shared" ref="M2:M8" si="1">+F2+24</f>
        <v>118</v>
      </c>
      <c r="N2" s="25">
        <f t="shared" ref="N2:N8" si="2">+F2+24</f>
        <v>118</v>
      </c>
      <c r="O2" s="25">
        <f t="shared" ref="O2:O8" si="3">+H2+(I2/4)</f>
        <v>109</v>
      </c>
      <c r="P2" s="25">
        <f t="shared" ref="P2:P8" si="4">+G2+36</f>
        <v>168</v>
      </c>
      <c r="Q2" s="25">
        <f t="shared" ref="Q2:Q8" si="5">+C2+(F2/4)</f>
        <v>98.5</v>
      </c>
    </row>
    <row r="3" spans="1:17" ht="14.25">
      <c r="A3" s="6">
        <v>46143</v>
      </c>
      <c r="B3" s="6">
        <v>46152</v>
      </c>
      <c r="C3" s="7">
        <v>72</v>
      </c>
      <c r="D3" s="7">
        <v>45</v>
      </c>
      <c r="E3" s="7">
        <f>126/3</f>
        <v>42</v>
      </c>
      <c r="F3" s="7">
        <f>+D3*2</f>
        <v>90</v>
      </c>
      <c r="G3" s="7">
        <f>+E3*3</f>
        <v>126</v>
      </c>
      <c r="H3" s="7">
        <f t="shared" ref="H3:H7" si="6">+C3+7</f>
        <v>79</v>
      </c>
      <c r="I3" s="7">
        <f>+F3+14</f>
        <v>104</v>
      </c>
      <c r="J3" s="8">
        <f>+G3+21</f>
        <v>147</v>
      </c>
      <c r="K3" s="25">
        <f t="shared" si="0"/>
        <v>130</v>
      </c>
      <c r="L3" s="25"/>
      <c r="M3" s="26">
        <f t="shared" si="1"/>
        <v>114</v>
      </c>
      <c r="N3" s="25">
        <f t="shared" si="2"/>
        <v>114</v>
      </c>
      <c r="O3" s="25">
        <f t="shared" si="3"/>
        <v>105</v>
      </c>
      <c r="P3" s="25">
        <f t="shared" si="4"/>
        <v>162</v>
      </c>
      <c r="Q3" s="25">
        <f t="shared" si="5"/>
        <v>94.5</v>
      </c>
    </row>
    <row r="4" spans="1:17" s="15" customFormat="1" ht="14.25">
      <c r="A4" s="6">
        <v>46153</v>
      </c>
      <c r="B4" s="6">
        <v>46203</v>
      </c>
      <c r="C4" s="29">
        <v>64</v>
      </c>
      <c r="D4" s="29">
        <v>40</v>
      </c>
      <c r="E4" s="29">
        <f>111/3</f>
        <v>37</v>
      </c>
      <c r="F4" s="7">
        <f t="shared" ref="F4:F6" si="7">+D4*2</f>
        <v>80</v>
      </c>
      <c r="G4" s="7">
        <f t="shared" ref="G4:G8" si="8">+E4*3</f>
        <v>111</v>
      </c>
      <c r="H4" s="29">
        <f t="shared" si="6"/>
        <v>71</v>
      </c>
      <c r="I4" s="29">
        <f t="shared" ref="I4:I7" si="9">+F4+14</f>
        <v>94</v>
      </c>
      <c r="J4" s="8">
        <f t="shared" ref="J4:J8" si="10">+G4+21</f>
        <v>132</v>
      </c>
      <c r="K4" s="25">
        <f t="shared" si="0"/>
        <v>117.5</v>
      </c>
      <c r="L4" s="25"/>
      <c r="M4" s="30">
        <f t="shared" si="1"/>
        <v>104</v>
      </c>
      <c r="N4" s="25">
        <f t="shared" si="2"/>
        <v>104</v>
      </c>
      <c r="O4" s="25">
        <f t="shared" si="3"/>
        <v>94.5</v>
      </c>
      <c r="P4" s="25">
        <f t="shared" si="4"/>
        <v>147</v>
      </c>
      <c r="Q4" s="25">
        <f t="shared" si="5"/>
        <v>84</v>
      </c>
    </row>
    <row r="5" spans="1:17" ht="14.25">
      <c r="A5" s="6">
        <v>46204</v>
      </c>
      <c r="B5" s="6">
        <v>46234</v>
      </c>
      <c r="C5" s="7">
        <v>90</v>
      </c>
      <c r="D5" s="7">
        <v>56</v>
      </c>
      <c r="E5" s="7">
        <v>53</v>
      </c>
      <c r="F5" s="7">
        <f t="shared" si="7"/>
        <v>112</v>
      </c>
      <c r="G5" s="7">
        <f t="shared" si="8"/>
        <v>159</v>
      </c>
      <c r="H5" s="7">
        <f t="shared" si="6"/>
        <v>97</v>
      </c>
      <c r="I5" s="7">
        <f t="shared" si="9"/>
        <v>126</v>
      </c>
      <c r="J5" s="8">
        <f t="shared" si="10"/>
        <v>180</v>
      </c>
      <c r="K5" s="25">
        <f t="shared" si="0"/>
        <v>157.5</v>
      </c>
      <c r="L5" s="25"/>
      <c r="M5" s="26">
        <f t="shared" si="1"/>
        <v>136</v>
      </c>
      <c r="N5" s="25">
        <f t="shared" si="2"/>
        <v>136</v>
      </c>
      <c r="O5" s="25">
        <f t="shared" si="3"/>
        <v>128.5</v>
      </c>
      <c r="P5" s="25">
        <f t="shared" si="4"/>
        <v>195</v>
      </c>
      <c r="Q5" s="25">
        <f t="shared" si="5"/>
        <v>118</v>
      </c>
    </row>
    <row r="6" spans="1:17" ht="14.25">
      <c r="A6" s="6">
        <v>46235</v>
      </c>
      <c r="B6" s="6">
        <v>46326</v>
      </c>
      <c r="C6" s="7">
        <v>96</v>
      </c>
      <c r="D6" s="7">
        <v>60</v>
      </c>
      <c r="E6" s="7">
        <v>57</v>
      </c>
      <c r="F6" s="7">
        <f t="shared" si="7"/>
        <v>120</v>
      </c>
      <c r="G6" s="7">
        <f t="shared" si="8"/>
        <v>171</v>
      </c>
      <c r="H6" s="7">
        <f t="shared" si="6"/>
        <v>103</v>
      </c>
      <c r="I6" s="7">
        <f t="shared" si="9"/>
        <v>134</v>
      </c>
      <c r="J6" s="8">
        <f t="shared" si="10"/>
        <v>192</v>
      </c>
      <c r="K6" s="25">
        <f t="shared" si="0"/>
        <v>167.5</v>
      </c>
      <c r="L6" s="25"/>
      <c r="M6" s="26">
        <f t="shared" si="1"/>
        <v>144</v>
      </c>
      <c r="N6" s="25">
        <f t="shared" si="2"/>
        <v>144</v>
      </c>
      <c r="O6" s="25">
        <f t="shared" si="3"/>
        <v>136.5</v>
      </c>
      <c r="P6" s="25">
        <f t="shared" si="4"/>
        <v>207</v>
      </c>
      <c r="Q6" s="25">
        <f t="shared" si="5"/>
        <v>126</v>
      </c>
    </row>
    <row r="7" spans="1:17" ht="14.25">
      <c r="A7" s="6"/>
      <c r="B7" s="6"/>
      <c r="C7" s="7"/>
      <c r="D7" s="7"/>
      <c r="E7" s="7"/>
      <c r="F7" s="7"/>
      <c r="G7" s="7">
        <f t="shared" si="8"/>
        <v>0</v>
      </c>
      <c r="H7" s="7">
        <f t="shared" si="6"/>
        <v>7</v>
      </c>
      <c r="I7" s="7">
        <f t="shared" si="9"/>
        <v>14</v>
      </c>
      <c r="J7" s="8">
        <f t="shared" si="10"/>
        <v>21</v>
      </c>
      <c r="K7" s="25">
        <f t="shared" si="0"/>
        <v>17.5</v>
      </c>
      <c r="L7" s="25"/>
      <c r="M7" s="26">
        <f t="shared" si="1"/>
        <v>24</v>
      </c>
      <c r="N7" s="25">
        <f t="shared" si="2"/>
        <v>24</v>
      </c>
      <c r="O7" s="25">
        <f t="shared" si="3"/>
        <v>10.5</v>
      </c>
      <c r="P7" s="25">
        <f t="shared" si="4"/>
        <v>36</v>
      </c>
      <c r="Q7" s="25">
        <f t="shared" si="5"/>
        <v>0</v>
      </c>
    </row>
    <row r="8" spans="1:17" ht="14.25">
      <c r="A8" s="6"/>
      <c r="B8" s="6"/>
      <c r="C8" s="7"/>
      <c r="D8" s="7"/>
      <c r="E8" s="7"/>
      <c r="F8" s="7"/>
      <c r="G8" s="7">
        <f t="shared" si="8"/>
        <v>0</v>
      </c>
      <c r="H8" s="7">
        <f>+C8+7</f>
        <v>7</v>
      </c>
      <c r="I8" s="7">
        <f>+F8+14</f>
        <v>14</v>
      </c>
      <c r="J8" s="8">
        <f t="shared" si="10"/>
        <v>21</v>
      </c>
      <c r="K8" s="27">
        <f t="shared" si="0"/>
        <v>17.5</v>
      </c>
      <c r="L8" s="27"/>
      <c r="M8" s="28">
        <f t="shared" si="1"/>
        <v>24</v>
      </c>
      <c r="N8" s="27">
        <f t="shared" si="2"/>
        <v>24</v>
      </c>
      <c r="O8" s="27">
        <f t="shared" si="3"/>
        <v>10.5</v>
      </c>
      <c r="P8" s="27">
        <f t="shared" si="4"/>
        <v>36</v>
      </c>
      <c r="Q8" s="27">
        <f t="shared" si="5"/>
        <v>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381F-DCB3-4130-8050-2D1FF466EEBB}">
  <dimension ref="A1:Q6"/>
  <sheetViews>
    <sheetView workbookViewId="0">
      <selection activeCell="L26" sqref="L26"/>
    </sheetView>
  </sheetViews>
  <sheetFormatPr defaultRowHeight="12.75"/>
  <cols>
    <col min="1" max="2" width="11.28515625" bestFit="1" customWidth="1"/>
    <col min="3" max="3" width="10.140625" bestFit="1" customWidth="1"/>
    <col min="4" max="4" width="10.7109375" bestFit="1" customWidth="1"/>
    <col min="6" max="6" width="11.7109375" bestFit="1" customWidth="1"/>
    <col min="7" max="7" width="12.28515625" bestFit="1" customWidth="1"/>
    <col min="8" max="8" width="12" bestFit="1" customWidth="1"/>
    <col min="9" max="9" width="16.85546875" bestFit="1" customWidth="1"/>
    <col min="11" max="12" width="17.42578125" bestFit="1" customWidth="1"/>
    <col min="13" max="13" width="16.85546875" bestFit="1" customWidth="1"/>
    <col min="14" max="14" width="16.42578125" bestFit="1" customWidth="1"/>
  </cols>
  <sheetData>
    <row r="1" spans="1:17" ht="16.5" thickTop="1">
      <c r="A1" s="3" t="s">
        <v>5</v>
      </c>
      <c r="B1" s="4" t="s">
        <v>6</v>
      </c>
      <c r="C1" s="12" t="s">
        <v>14</v>
      </c>
      <c r="D1" s="12" t="s">
        <v>24</v>
      </c>
      <c r="E1" s="12" t="s">
        <v>25</v>
      </c>
      <c r="F1" s="12" t="s">
        <v>12</v>
      </c>
      <c r="G1" s="12" t="s">
        <v>13</v>
      </c>
      <c r="H1" s="12" t="s">
        <v>16</v>
      </c>
      <c r="I1" s="12" t="s">
        <v>15</v>
      </c>
      <c r="J1" s="12" t="s">
        <v>11</v>
      </c>
      <c r="K1" s="12" t="s">
        <v>23</v>
      </c>
      <c r="L1" s="10" t="s">
        <v>10</v>
      </c>
      <c r="M1" s="12" t="s">
        <v>17</v>
      </c>
      <c r="N1" s="12" t="s">
        <v>18</v>
      </c>
      <c r="O1" s="12" t="s">
        <v>21</v>
      </c>
      <c r="P1" s="12" t="s">
        <v>22</v>
      </c>
      <c r="Q1" t="s">
        <v>20</v>
      </c>
    </row>
    <row r="2" spans="1:17" s="15" customFormat="1" ht="14.25">
      <c r="A2" s="6">
        <v>46167</v>
      </c>
      <c r="B2" s="6">
        <v>46203</v>
      </c>
      <c r="C2" s="29">
        <v>64</v>
      </c>
      <c r="D2" s="29">
        <v>40</v>
      </c>
      <c r="E2" s="29">
        <f>111/3</f>
        <v>37</v>
      </c>
      <c r="F2" s="7">
        <f t="shared" ref="F2:F4" si="0">+D2*2</f>
        <v>80</v>
      </c>
      <c r="G2" s="7">
        <f t="shared" ref="G2:G6" si="1">+E2*3</f>
        <v>111</v>
      </c>
      <c r="H2" s="29">
        <f t="shared" ref="H2:H5" si="2">+C2+7</f>
        <v>71</v>
      </c>
      <c r="I2" s="29">
        <f t="shared" ref="I2:I5" si="3">+F2+14</f>
        <v>94</v>
      </c>
      <c r="J2" s="8">
        <f t="shared" ref="J2:J6" si="4">+G2+21</f>
        <v>132</v>
      </c>
      <c r="K2" s="25">
        <f t="shared" ref="K2:K6" si="5">+(I2/2)*2.5</f>
        <v>117.5</v>
      </c>
      <c r="L2" s="25"/>
      <c r="M2" s="30">
        <f t="shared" ref="M2:M6" si="6">+F2+24</f>
        <v>104</v>
      </c>
      <c r="N2" s="25">
        <f t="shared" ref="N2:N6" si="7">+F2+24</f>
        <v>104</v>
      </c>
      <c r="O2" s="25">
        <f t="shared" ref="O2:O6" si="8">+H2+(I2/4)</f>
        <v>94.5</v>
      </c>
      <c r="P2" s="25">
        <f t="shared" ref="P2:P6" si="9">+G2+36</f>
        <v>147</v>
      </c>
      <c r="Q2" s="25">
        <f t="shared" ref="Q2:Q6" si="10">+C2+(F2/4)</f>
        <v>84</v>
      </c>
    </row>
    <row r="3" spans="1:17" ht="14.25">
      <c r="A3" s="6">
        <v>46204</v>
      </c>
      <c r="B3" s="6">
        <v>46234</v>
      </c>
      <c r="C3" s="7">
        <v>72</v>
      </c>
      <c r="D3" s="7">
        <f>90/2</f>
        <v>45</v>
      </c>
      <c r="E3" s="7">
        <f>126/3</f>
        <v>42</v>
      </c>
      <c r="F3" s="7">
        <f t="shared" si="0"/>
        <v>90</v>
      </c>
      <c r="G3" s="7">
        <f t="shared" si="1"/>
        <v>126</v>
      </c>
      <c r="H3" s="7">
        <f t="shared" si="2"/>
        <v>79</v>
      </c>
      <c r="I3" s="7">
        <f t="shared" si="3"/>
        <v>104</v>
      </c>
      <c r="J3" s="8">
        <f t="shared" si="4"/>
        <v>147</v>
      </c>
      <c r="K3" s="25">
        <f t="shared" si="5"/>
        <v>130</v>
      </c>
      <c r="L3" s="25"/>
      <c r="M3" s="26">
        <f t="shared" si="6"/>
        <v>114</v>
      </c>
      <c r="N3" s="25">
        <f t="shared" si="7"/>
        <v>114</v>
      </c>
      <c r="O3" s="25">
        <f t="shared" si="8"/>
        <v>105</v>
      </c>
      <c r="P3" s="25">
        <f t="shared" si="9"/>
        <v>162</v>
      </c>
      <c r="Q3" s="25">
        <f t="shared" si="10"/>
        <v>94.5</v>
      </c>
    </row>
    <row r="4" spans="1:17" ht="14.25">
      <c r="A4" s="6">
        <v>46235</v>
      </c>
      <c r="B4" s="6">
        <v>46326</v>
      </c>
      <c r="C4" s="7">
        <v>80</v>
      </c>
      <c r="D4" s="7">
        <v>50</v>
      </c>
      <c r="E4" s="7">
        <f>141/3</f>
        <v>47</v>
      </c>
      <c r="F4" s="7">
        <f t="shared" si="0"/>
        <v>100</v>
      </c>
      <c r="G4" s="7">
        <f t="shared" si="1"/>
        <v>141</v>
      </c>
      <c r="H4" s="7">
        <f t="shared" si="2"/>
        <v>87</v>
      </c>
      <c r="I4" s="7">
        <f t="shared" si="3"/>
        <v>114</v>
      </c>
      <c r="J4" s="8">
        <f t="shared" si="4"/>
        <v>162</v>
      </c>
      <c r="K4" s="25">
        <f t="shared" si="5"/>
        <v>142.5</v>
      </c>
      <c r="L4" s="25"/>
      <c r="M4" s="26">
        <f t="shared" si="6"/>
        <v>124</v>
      </c>
      <c r="N4" s="25">
        <f t="shared" si="7"/>
        <v>124</v>
      </c>
      <c r="O4" s="25">
        <f t="shared" si="8"/>
        <v>115.5</v>
      </c>
      <c r="P4" s="25">
        <f t="shared" si="9"/>
        <v>177</v>
      </c>
      <c r="Q4" s="25">
        <f t="shared" si="10"/>
        <v>105</v>
      </c>
    </row>
    <row r="5" spans="1:17" ht="14.25">
      <c r="A5" s="6"/>
      <c r="B5" s="6"/>
      <c r="C5" s="7"/>
      <c r="D5" s="7"/>
      <c r="E5" s="7"/>
      <c r="F5" s="7"/>
      <c r="G5" s="7">
        <f t="shared" si="1"/>
        <v>0</v>
      </c>
      <c r="H5" s="7">
        <f t="shared" si="2"/>
        <v>7</v>
      </c>
      <c r="I5" s="7">
        <f t="shared" si="3"/>
        <v>14</v>
      </c>
      <c r="J5" s="8">
        <f t="shared" si="4"/>
        <v>21</v>
      </c>
      <c r="K5" s="25">
        <f t="shared" si="5"/>
        <v>17.5</v>
      </c>
      <c r="L5" s="25"/>
      <c r="M5" s="26">
        <f t="shared" si="6"/>
        <v>24</v>
      </c>
      <c r="N5" s="25">
        <f t="shared" si="7"/>
        <v>24</v>
      </c>
      <c r="O5" s="25">
        <f t="shared" si="8"/>
        <v>10.5</v>
      </c>
      <c r="P5" s="25">
        <f t="shared" si="9"/>
        <v>36</v>
      </c>
      <c r="Q5" s="25">
        <f t="shared" si="10"/>
        <v>0</v>
      </c>
    </row>
    <row r="6" spans="1:17" ht="14.25">
      <c r="A6" s="6"/>
      <c r="B6" s="6"/>
      <c r="C6" s="7"/>
      <c r="D6" s="7"/>
      <c r="E6" s="7"/>
      <c r="F6" s="7"/>
      <c r="G6" s="7">
        <f t="shared" si="1"/>
        <v>0</v>
      </c>
      <c r="H6" s="7">
        <f>+C6+7</f>
        <v>7</v>
      </c>
      <c r="I6" s="7">
        <f>+F6+14</f>
        <v>14</v>
      </c>
      <c r="J6" s="8">
        <f t="shared" si="4"/>
        <v>21</v>
      </c>
      <c r="K6" s="27">
        <f t="shared" si="5"/>
        <v>17.5</v>
      </c>
      <c r="L6" s="27"/>
      <c r="M6" s="28">
        <f t="shared" si="6"/>
        <v>24</v>
      </c>
      <c r="N6" s="27">
        <f t="shared" si="7"/>
        <v>24</v>
      </c>
      <c r="O6" s="27">
        <f t="shared" si="8"/>
        <v>10.5</v>
      </c>
      <c r="P6" s="27">
        <f t="shared" si="9"/>
        <v>36</v>
      </c>
      <c r="Q6" s="27">
        <f t="shared" si="10"/>
        <v>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statment</vt:lpstr>
      <vt:lpstr>contract</vt:lpstr>
      <vt:lpstr>S.P.O from 15.04 to 29.04</vt:lpstr>
      <vt:lpstr>S.P.O from 30.04 to 24.05</vt:lpstr>
      <vt:lpstr>S.P.O from 25.05 to 31.08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Area-Credit2</cp:lastModifiedBy>
  <cp:lastPrinted>2022-10-27T07:02:22Z</cp:lastPrinted>
  <dcterms:created xsi:type="dcterms:W3CDTF">2016-10-13T07:40:59Z</dcterms:created>
  <dcterms:modified xsi:type="dcterms:W3CDTF">2026-06-29T08:59:33Z</dcterms:modified>
</cp:coreProperties>
</file>