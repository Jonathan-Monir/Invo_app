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5480" windowHeight="10920" activeTab="1"/>
  </bookViews>
  <sheets>
    <sheet name="statment" sheetId="12" r:id="rId1"/>
    <sheet name="contract" sheetId="1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statment!$C$1:$J$39</definedName>
  </definedNames>
  <calcPr calcId="124519"/>
</workbook>
</file>

<file path=xl/calcChain.xml><?xml version="1.0" encoding="utf-8"?>
<calcChain xmlns="http://schemas.openxmlformats.org/spreadsheetml/2006/main">
  <c r="J57" i="12"/>
  <c r="H57"/>
  <c r="J56"/>
  <c r="H56"/>
  <c r="J55"/>
  <c r="H55"/>
  <c r="J54"/>
  <c r="H54"/>
  <c r="J53"/>
  <c r="H53"/>
  <c r="J52"/>
  <c r="H52"/>
  <c r="J51"/>
  <c r="H51"/>
  <c r="J50"/>
  <c r="H50"/>
  <c r="J49"/>
  <c r="H49"/>
  <c r="J48"/>
  <c r="H48"/>
  <c r="H47"/>
  <c r="J47" s="1"/>
  <c r="J46"/>
  <c r="H46"/>
  <c r="J45"/>
  <c r="H45"/>
  <c r="J44"/>
  <c r="H44"/>
  <c r="J43"/>
  <c r="H43"/>
  <c r="J42"/>
  <c r="H42"/>
  <c r="J41"/>
  <c r="H41"/>
  <c r="J40"/>
  <c r="H40"/>
  <c r="J39"/>
  <c r="H39"/>
  <c r="J38"/>
  <c r="H38"/>
  <c r="J37"/>
  <c r="H37"/>
  <c r="J36"/>
  <c r="H36"/>
  <c r="H35"/>
  <c r="J35" s="1"/>
  <c r="J34"/>
  <c r="I34"/>
  <c r="H34"/>
  <c r="J33"/>
  <c r="I33"/>
  <c r="H33"/>
  <c r="H32"/>
  <c r="J32" s="1"/>
  <c r="J31"/>
  <c r="H31"/>
  <c r="H30"/>
  <c r="J30" s="1"/>
  <c r="J29"/>
  <c r="H29"/>
  <c r="H28"/>
  <c r="J28" s="1"/>
  <c r="J27"/>
  <c r="H27"/>
  <c r="H26"/>
  <c r="J26" s="1"/>
  <c r="J25"/>
  <c r="I25"/>
  <c r="H25"/>
  <c r="J24"/>
  <c r="H24"/>
  <c r="J23"/>
  <c r="H23"/>
  <c r="J22"/>
  <c r="I22"/>
  <c r="H22"/>
  <c r="H21"/>
  <c r="J21" s="1"/>
  <c r="J20"/>
  <c r="I20"/>
  <c r="H20"/>
  <c r="J19"/>
  <c r="H19"/>
  <c r="J18"/>
  <c r="H18"/>
  <c r="J17"/>
  <c r="H17"/>
  <c r="J16"/>
  <c r="H16"/>
  <c r="J15"/>
  <c r="H15"/>
  <c r="J14"/>
  <c r="H14"/>
  <c r="J13"/>
  <c r="H13"/>
  <c r="J12"/>
  <c r="H12"/>
  <c r="J11"/>
  <c r="H11"/>
  <c r="J10"/>
  <c r="H10"/>
  <c r="J9"/>
  <c r="H9"/>
  <c r="J8"/>
  <c r="H8"/>
  <c r="J7"/>
  <c r="H7"/>
  <c r="J6"/>
  <c r="H6"/>
  <c r="J5"/>
  <c r="H5"/>
  <c r="I4"/>
  <c r="H4"/>
  <c r="J4" s="1"/>
  <c r="J3"/>
  <c r="H3"/>
  <c r="J2"/>
  <c r="H2"/>
  <c r="U15" i="13"/>
  <c r="T15"/>
  <c r="S15"/>
  <c r="R15"/>
  <c r="Q15"/>
  <c r="P15"/>
  <c r="O15"/>
  <c r="N15"/>
  <c r="W15" s="1"/>
  <c r="K15"/>
  <c r="J15"/>
  <c r="I15"/>
  <c r="H15"/>
  <c r="U14"/>
  <c r="T14"/>
  <c r="S14"/>
  <c r="R14"/>
  <c r="Q14"/>
  <c r="P14"/>
  <c r="O14"/>
  <c r="N14"/>
  <c r="W14" s="1"/>
  <c r="K14"/>
  <c r="J14"/>
  <c r="I14"/>
  <c r="H14"/>
  <c r="U13"/>
  <c r="T13"/>
  <c r="S13"/>
  <c r="R13"/>
  <c r="Q13"/>
  <c r="P13"/>
  <c r="O13"/>
  <c r="N13"/>
  <c r="W13" s="1"/>
  <c r="K13"/>
  <c r="J13"/>
  <c r="I13"/>
  <c r="H13"/>
  <c r="U12"/>
  <c r="T12"/>
  <c r="S12"/>
  <c r="R12"/>
  <c r="Q12"/>
  <c r="P12"/>
  <c r="O12"/>
  <c r="N12"/>
  <c r="W12" s="1"/>
  <c r="K12"/>
  <c r="J12"/>
  <c r="I12"/>
  <c r="H12"/>
  <c r="U11"/>
  <c r="T11"/>
  <c r="S11"/>
  <c r="R11"/>
  <c r="Q11"/>
  <c r="P11"/>
  <c r="O11"/>
  <c r="N11"/>
  <c r="W11" s="1"/>
  <c r="K11"/>
  <c r="J11"/>
  <c r="I11"/>
  <c r="H11"/>
  <c r="W3"/>
  <c r="W4"/>
  <c r="W5"/>
  <c r="W6"/>
  <c r="W7"/>
  <c r="W8"/>
  <c r="W9"/>
  <c r="W10"/>
  <c r="W2"/>
  <c r="H3"/>
  <c r="H4"/>
  <c r="H5"/>
  <c r="H6"/>
  <c r="H7"/>
  <c r="H8"/>
  <c r="H9"/>
  <c r="H10"/>
  <c r="H2"/>
  <c r="R3"/>
  <c r="S3"/>
  <c r="T3"/>
  <c r="U3"/>
  <c r="R4"/>
  <c r="S4"/>
  <c r="T4"/>
  <c r="U4"/>
  <c r="R5"/>
  <c r="S5"/>
  <c r="T5"/>
  <c r="U5"/>
  <c r="R6"/>
  <c r="S6"/>
  <c r="T6"/>
  <c r="U6"/>
  <c r="R7"/>
  <c r="S7"/>
  <c r="T7"/>
  <c r="U7"/>
  <c r="R8"/>
  <c r="S8"/>
  <c r="T8"/>
  <c r="U8"/>
  <c r="R9"/>
  <c r="S9"/>
  <c r="T9"/>
  <c r="U9"/>
  <c r="R10"/>
  <c r="S10"/>
  <c r="T10"/>
  <c r="U10"/>
  <c r="S2"/>
  <c r="T2"/>
  <c r="U2"/>
  <c r="R2"/>
  <c r="N3"/>
  <c r="O3"/>
  <c r="P3"/>
  <c r="Q3"/>
  <c r="N4"/>
  <c r="O4"/>
  <c r="P4"/>
  <c r="Q4"/>
  <c r="N5"/>
  <c r="O5"/>
  <c r="P5"/>
  <c r="Q5"/>
  <c r="N6"/>
  <c r="O6"/>
  <c r="P6"/>
  <c r="Q6"/>
  <c r="N7"/>
  <c r="O7"/>
  <c r="P7"/>
  <c r="Q7"/>
  <c r="N8"/>
  <c r="O8"/>
  <c r="P8"/>
  <c r="Q8"/>
  <c r="N9"/>
  <c r="O9"/>
  <c r="P9"/>
  <c r="Q9"/>
  <c r="N10"/>
  <c r="O10"/>
  <c r="P10"/>
  <c r="Q10"/>
  <c r="O2"/>
  <c r="P2"/>
  <c r="Q2"/>
  <c r="K3"/>
  <c r="K4"/>
  <c r="K5"/>
  <c r="K6"/>
  <c r="K7"/>
  <c r="K8"/>
  <c r="K9"/>
  <c r="K10"/>
  <c r="K2"/>
  <c r="J3"/>
  <c r="J4"/>
  <c r="J5"/>
  <c r="J6"/>
  <c r="J7"/>
  <c r="J8"/>
  <c r="J9"/>
  <c r="J10"/>
  <c r="J2"/>
  <c r="I3"/>
  <c r="I4"/>
  <c r="I5"/>
  <c r="I6"/>
  <c r="I7"/>
  <c r="I8"/>
  <c r="I9"/>
  <c r="I10"/>
  <c r="I2"/>
</calcChain>
</file>

<file path=xl/sharedStrings.xml><?xml version="1.0" encoding="utf-8"?>
<sst xmlns="http://schemas.openxmlformats.org/spreadsheetml/2006/main" count="167" uniqueCount="94">
  <si>
    <t>Night</t>
  </si>
  <si>
    <t>Arrival</t>
  </si>
  <si>
    <t>Departure</t>
  </si>
  <si>
    <t>Rate code</t>
  </si>
  <si>
    <t>first date</t>
  </si>
  <si>
    <t>second date</t>
  </si>
  <si>
    <t>Amount-hotel</t>
  </si>
  <si>
    <t>Rate Euro.</t>
  </si>
  <si>
    <t>Booking No.</t>
  </si>
  <si>
    <t>SGL</t>
  </si>
  <si>
    <t>DBL</t>
  </si>
  <si>
    <t>TPL</t>
  </si>
  <si>
    <t>Folio</t>
  </si>
  <si>
    <t>DLX-GAR</t>
  </si>
  <si>
    <t>DLX-MB</t>
  </si>
  <si>
    <t>BUNG</t>
  </si>
  <si>
    <t>SGL SUPPL</t>
  </si>
  <si>
    <t>SGL-BUN</t>
  </si>
  <si>
    <t>TPL-GR</t>
  </si>
  <si>
    <t>TPL-MB</t>
  </si>
  <si>
    <t>TPL-BAY</t>
  </si>
  <si>
    <t>DBL-GR 50%DES</t>
  </si>
  <si>
    <t>46-40</t>
  </si>
  <si>
    <t>SGL-bay</t>
  </si>
  <si>
    <t>62-54</t>
  </si>
  <si>
    <t>D154995</t>
  </si>
  <si>
    <t>DBL-E GR</t>
  </si>
  <si>
    <t>40-32</t>
  </si>
  <si>
    <t>A428105</t>
  </si>
  <si>
    <t xml:space="preserve">DBL-J SUIT BAY </t>
  </si>
  <si>
    <t>A427899</t>
  </si>
  <si>
    <t>A427965</t>
  </si>
  <si>
    <t xml:space="preserve">DBL-DEX </t>
  </si>
  <si>
    <t>A421180</t>
  </si>
  <si>
    <t>A425648</t>
  </si>
  <si>
    <t>A426971</t>
  </si>
  <si>
    <t>D160911</t>
  </si>
  <si>
    <t>A426062</t>
  </si>
  <si>
    <t>A427236</t>
  </si>
  <si>
    <t>A427298</t>
  </si>
  <si>
    <t>A427908</t>
  </si>
  <si>
    <t xml:space="preserve">DBL-BUNG </t>
  </si>
  <si>
    <t>A427952</t>
  </si>
  <si>
    <t>A426296</t>
  </si>
  <si>
    <t>A426548</t>
  </si>
  <si>
    <t>A426883</t>
  </si>
  <si>
    <t>A428390</t>
  </si>
  <si>
    <t>A427454</t>
  </si>
  <si>
    <t xml:space="preserve">TPL-BUNG </t>
  </si>
  <si>
    <t>A419587</t>
  </si>
  <si>
    <t>A423049</t>
  </si>
  <si>
    <t>SGL-E GR</t>
  </si>
  <si>
    <t>A428452</t>
  </si>
  <si>
    <t>A428462</t>
  </si>
  <si>
    <t>A428508</t>
  </si>
  <si>
    <t>A428870</t>
  </si>
  <si>
    <t>A428628</t>
  </si>
  <si>
    <t>A428554</t>
  </si>
  <si>
    <t>A429007</t>
  </si>
  <si>
    <t>A428052</t>
  </si>
  <si>
    <t>A421541</t>
  </si>
  <si>
    <t>A421459</t>
  </si>
  <si>
    <t>A425628</t>
  </si>
  <si>
    <t xml:space="preserve">SGL-J SUIT BAY </t>
  </si>
  <si>
    <t>D160625</t>
  </si>
  <si>
    <t>A428988</t>
  </si>
  <si>
    <t>A427308</t>
  </si>
  <si>
    <t>44-58</t>
  </si>
  <si>
    <t>A427776</t>
  </si>
  <si>
    <t>32-46</t>
  </si>
  <si>
    <t>A420738</t>
  </si>
  <si>
    <t>A421389</t>
  </si>
  <si>
    <t>SGL-DEX</t>
  </si>
  <si>
    <t>30-37</t>
  </si>
  <si>
    <t>A423662</t>
  </si>
  <si>
    <t>A428122</t>
  </si>
  <si>
    <t>26-33</t>
  </si>
  <si>
    <t>A428742</t>
  </si>
  <si>
    <t>40-54</t>
  </si>
  <si>
    <t>A428789</t>
  </si>
  <si>
    <t>A427575</t>
  </si>
  <si>
    <t>A428627</t>
  </si>
  <si>
    <t>A429495</t>
  </si>
  <si>
    <t>A422507</t>
  </si>
  <si>
    <t>54-62</t>
  </si>
  <si>
    <t>A427625</t>
  </si>
  <si>
    <t>81-93</t>
  </si>
  <si>
    <t>A427636</t>
  </si>
  <si>
    <t>40-54-62</t>
  </si>
  <si>
    <t>A428104</t>
  </si>
  <si>
    <t>A428603</t>
  </si>
  <si>
    <t>A428756</t>
  </si>
  <si>
    <t>A428737</t>
  </si>
  <si>
    <t>A429341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</si>
</sst>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-* #,##0.00_-;_-* #,##0.00\-;_-* &quot;-&quot;??_-;_-@_-"/>
    <numFmt numFmtId="165" formatCode="dd/mm/yyyy;@"/>
  </numFmts>
  <fonts count="18">
    <font>
      <sz val="10"/>
      <name val="Arial"/>
      <charset val="178"/>
    </font>
    <font>
      <sz val="10"/>
      <name val="Arial"/>
      <family val="2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color indexed="18"/>
      <name val="Calibri"/>
      <family val="2"/>
      <scheme val="minor"/>
    </font>
    <font>
      <sz val="8"/>
      <color rgb="FF080000"/>
      <name val="MS Sans Serif"/>
      <family val="2"/>
      <charset val="178"/>
    </font>
    <font>
      <sz val="12"/>
      <color indexed="8"/>
      <name val="Times New Roman"/>
      <family val="1"/>
    </font>
    <font>
      <sz val="11"/>
      <color indexed="8"/>
      <name val="Times New Roman"/>
      <family val="1"/>
      <charset val="178"/>
    </font>
    <font>
      <sz val="11"/>
      <color indexed="8"/>
      <name val="Arial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</borders>
  <cellStyleXfs count="38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9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NumberFormat="1" applyFont="1" applyBorder="1" applyAlignment="1"/>
    <xf numFmtId="0" fontId="2" fillId="3" borderId="3" xfId="0" applyFont="1" applyFill="1" applyBorder="1" applyAlignment="1">
      <alignment horizontal="center" vertical="center"/>
    </xf>
    <xf numFmtId="0" fontId="10" fillId="0" borderId="0" xfId="0" applyFont="1"/>
    <xf numFmtId="0" fontId="11" fillId="4" borderId="3" xfId="0" applyFont="1" applyFill="1" applyBorder="1" applyAlignment="1">
      <alignment horizontal="center" vertical="center"/>
    </xf>
    <xf numFmtId="0" fontId="10" fillId="5" borderId="0" xfId="0" applyFont="1" applyFill="1"/>
    <xf numFmtId="0" fontId="12" fillId="0" borderId="0" xfId="30" applyNumberFormat="1" applyFont="1" applyAlignment="1"/>
    <xf numFmtId="14" fontId="13" fillId="0" borderId="1" xfId="0" applyNumberFormat="1" applyFont="1" applyFill="1" applyBorder="1" applyAlignment="1">
      <alignment horizontal="center"/>
    </xf>
    <xf numFmtId="0" fontId="8" fillId="0" borderId="6" xfId="0" applyNumberFormat="1" applyFont="1" applyBorder="1" applyAlignment="1">
      <alignment horizontal="center" vertical="center"/>
    </xf>
    <xf numFmtId="165" fontId="15" fillId="6" borderId="4" xfId="0" applyNumberFormat="1" applyFont="1" applyFill="1" applyBorder="1" applyAlignment="1">
      <alignment horizontal="center" vertical="center"/>
    </xf>
    <xf numFmtId="14" fontId="7" fillId="0" borderId="5" xfId="0" applyNumberFormat="1" applyFont="1" applyBorder="1"/>
    <xf numFmtId="164" fontId="7" fillId="7" borderId="5" xfId="1" applyFont="1" applyFill="1" applyBorder="1" applyAlignment="1">
      <alignment horizontal="center"/>
    </xf>
    <xf numFmtId="14" fontId="13" fillId="0" borderId="7" xfId="0" applyNumberFormat="1" applyFont="1" applyFill="1" applyBorder="1" applyAlignment="1">
      <alignment horizontal="center" vertical="center"/>
    </xf>
    <xf numFmtId="14" fontId="14" fillId="0" borderId="7" xfId="0" applyNumberFormat="1" applyFont="1" applyBorder="1" applyAlignment="1">
      <alignment horizontal="center" vertical="center"/>
    </xf>
    <xf numFmtId="0" fontId="9" fillId="0" borderId="6" xfId="0" applyNumberFormat="1" applyFont="1" applyBorder="1" applyAlignment="1">
      <alignment horizontal="center" vertical="center"/>
    </xf>
    <xf numFmtId="43" fontId="0" fillId="8" borderId="0" xfId="0" applyNumberFormat="1" applyFont="1" applyFill="1" applyBorder="1" applyAlignment="1"/>
    <xf numFmtId="164" fontId="0" fillId="9" borderId="0" xfId="1" applyFont="1" applyFill="1" applyBorder="1" applyAlignment="1"/>
    <xf numFmtId="164" fontId="0" fillId="10" borderId="0" xfId="1" applyFont="1" applyFill="1" applyBorder="1" applyAlignment="1"/>
    <xf numFmtId="43" fontId="0" fillId="11" borderId="0" xfId="0" applyNumberFormat="1" applyFont="1" applyFill="1" applyBorder="1" applyAlignment="1"/>
    <xf numFmtId="14" fontId="13" fillId="0" borderId="2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Fill="1"/>
    <xf numFmtId="165" fontId="15" fillId="3" borderId="2" xfId="0" applyNumberFormat="1" applyFont="1" applyFill="1" applyBorder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/>
    </xf>
    <xf numFmtId="165" fontId="15" fillId="5" borderId="8" xfId="0" applyNumberFormat="1" applyFont="1" applyFill="1" applyBorder="1" applyAlignment="1">
      <alignment horizontal="center"/>
    </xf>
    <xf numFmtId="14" fontId="13" fillId="5" borderId="8" xfId="0" applyNumberFormat="1" applyFont="1" applyFill="1" applyBorder="1" applyAlignment="1">
      <alignment horizontal="center"/>
    </xf>
    <xf numFmtId="3" fontId="13" fillId="0" borderId="8" xfId="1" applyNumberFormat="1" applyFont="1" applyFill="1" applyBorder="1" applyAlignment="1">
      <alignment horizontal="center"/>
    </xf>
    <xf numFmtId="164" fontId="13" fillId="0" borderId="9" xfId="1" applyFont="1" applyFill="1" applyBorder="1" applyAlignment="1">
      <alignment horizontal="right" vertical="center"/>
    </xf>
    <xf numFmtId="164" fontId="13" fillId="0" borderId="9" xfId="0" applyNumberFormat="1" applyFont="1" applyFill="1" applyBorder="1" applyAlignment="1">
      <alignment horizontal="center" vertical="center"/>
    </xf>
    <xf numFmtId="0" fontId="13" fillId="5" borderId="5" xfId="0" applyNumberFormat="1" applyFont="1" applyFill="1" applyBorder="1" applyAlignment="1">
      <alignment horizontal="center"/>
    </xf>
    <xf numFmtId="165" fontId="15" fillId="5" borderId="5" xfId="0" applyNumberFormat="1" applyFont="1" applyFill="1" applyBorder="1" applyAlignment="1">
      <alignment horizontal="center"/>
    </xf>
    <xf numFmtId="14" fontId="13" fillId="5" borderId="5" xfId="0" applyNumberFormat="1" applyFont="1" applyFill="1" applyBorder="1" applyAlignment="1">
      <alignment horizontal="center"/>
    </xf>
    <xf numFmtId="3" fontId="13" fillId="0" borderId="5" xfId="1" applyNumberFormat="1" applyFont="1" applyFill="1" applyBorder="1" applyAlignment="1">
      <alignment horizontal="center"/>
    </xf>
    <xf numFmtId="164" fontId="13" fillId="0" borderId="5" xfId="1" applyFont="1" applyFill="1" applyBorder="1" applyAlignment="1">
      <alignment horizontal="right" vertical="center"/>
    </xf>
    <xf numFmtId="164" fontId="13" fillId="0" borderId="5" xfId="0" applyNumberFormat="1" applyFont="1" applyFill="1" applyBorder="1" applyAlignment="1">
      <alignment horizontal="center" vertical="center"/>
    </xf>
    <xf numFmtId="14" fontId="13" fillId="5" borderId="5" xfId="1" applyNumberFormat="1" applyFont="1" applyFill="1" applyBorder="1" applyAlignment="1">
      <alignment horizontal="center"/>
    </xf>
    <xf numFmtId="3" fontId="13" fillId="5" borderId="5" xfId="1" applyNumberFormat="1" applyFont="1" applyFill="1" applyBorder="1" applyAlignment="1">
      <alignment horizontal="center"/>
    </xf>
    <xf numFmtId="164" fontId="13" fillId="5" borderId="5" xfId="1" applyFont="1" applyFill="1" applyBorder="1" applyAlignment="1">
      <alignment horizontal="right" vertical="center"/>
    </xf>
    <xf numFmtId="1" fontId="13" fillId="5" borderId="5" xfId="0" applyNumberFormat="1" applyFont="1" applyFill="1" applyBorder="1" applyAlignment="1">
      <alignment horizontal="center"/>
    </xf>
    <xf numFmtId="1" fontId="13" fillId="10" borderId="8" xfId="0" applyNumberFormat="1" applyFont="1" applyFill="1" applyBorder="1" applyAlignment="1">
      <alignment horizontal="center"/>
    </xf>
    <xf numFmtId="0" fontId="13" fillId="10" borderId="8" xfId="0" applyNumberFormat="1" applyFont="1" applyFill="1" applyBorder="1" applyAlignment="1">
      <alignment horizontal="center"/>
    </xf>
    <xf numFmtId="1" fontId="13" fillId="10" borderId="5" xfId="0" applyNumberFormat="1" applyFont="1" applyFill="1" applyBorder="1" applyAlignment="1">
      <alignment horizontal="center"/>
    </xf>
    <xf numFmtId="0" fontId="13" fillId="10" borderId="5" xfId="0" applyNumberFormat="1" applyFont="1" applyFill="1" applyBorder="1" applyAlignment="1">
      <alignment horizontal="center"/>
    </xf>
    <xf numFmtId="0" fontId="17" fillId="3" borderId="5" xfId="0" applyNumberFormat="1" applyFont="1" applyFill="1" applyBorder="1" applyAlignment="1">
      <alignment horizontal="center"/>
    </xf>
    <xf numFmtId="165" fontId="13" fillId="5" borderId="5" xfId="1" applyNumberFormat="1" applyFont="1" applyFill="1" applyBorder="1" applyAlignment="1">
      <alignment horizontal="center"/>
    </xf>
    <xf numFmtId="165" fontId="13" fillId="5" borderId="5" xfId="0" applyNumberFormat="1" applyFont="1" applyFill="1" applyBorder="1" applyAlignment="1">
      <alignment horizontal="center"/>
    </xf>
  </cellXfs>
  <cellStyles count="38">
    <cellStyle name="Comma" xfId="1" builtinId="3"/>
    <cellStyle name="Normal" xfId="0" builtinId="0"/>
    <cellStyle name="Normal 10 2" xfId="2"/>
    <cellStyle name="Normal 10 3" xfId="3"/>
    <cellStyle name="Normal 10 4" xfId="4"/>
    <cellStyle name="Normal 151" xfId="5"/>
    <cellStyle name="Normal 155" xfId="28"/>
    <cellStyle name="Normal 156" xfId="31"/>
    <cellStyle name="Normal 159" xfId="30"/>
    <cellStyle name="Normal 160" xfId="34"/>
    <cellStyle name="Normal 163" xfId="35"/>
    <cellStyle name="Normal 166" xfId="36"/>
    <cellStyle name="Normal 184" xfId="6"/>
    <cellStyle name="Normal 19 2" xfId="7"/>
    <cellStyle name="Normal 19 3" xfId="8"/>
    <cellStyle name="Normal 19 4" xfId="9"/>
    <cellStyle name="Normal 194" xfId="32"/>
    <cellStyle name="Normal 197" xfId="33"/>
    <cellStyle name="Normal 199" xfId="37"/>
    <cellStyle name="Normal 2 2" xfId="10"/>
    <cellStyle name="Normal 2 3" xfId="11"/>
    <cellStyle name="Normal 2 4" xfId="12"/>
    <cellStyle name="Normal 20 2" xfId="13"/>
    <cellStyle name="Normal 20 3" xfId="14"/>
    <cellStyle name="Normal 20 4" xfId="15"/>
    <cellStyle name="Normal 23 2" xfId="16"/>
    <cellStyle name="Normal 23 3" xfId="17"/>
    <cellStyle name="Normal 23 4" xfId="18"/>
    <cellStyle name="Normal 37 2" xfId="19"/>
    <cellStyle name="Normal 37 3" xfId="20"/>
    <cellStyle name="Normal 37 4" xfId="21"/>
    <cellStyle name="Normal 38 2" xfId="22"/>
    <cellStyle name="Normal 38 3" xfId="23"/>
    <cellStyle name="Normal 38 4" xfId="24"/>
    <cellStyle name="Normal 8" xfId="29"/>
    <cellStyle name="Normal 9 2" xfId="25"/>
    <cellStyle name="Normal 9 3" xfId="26"/>
    <cellStyle name="Normal 9 4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32</xdr:row>
      <xdr:rowOff>142875</xdr:rowOff>
    </xdr:from>
    <xdr:to>
      <xdr:col>8</xdr:col>
      <xdr:colOff>314325</xdr:colOff>
      <xdr:row>39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95550" y="4838700"/>
          <a:ext cx="3781425" cy="11334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638175</xdr:colOff>
      <xdr:row>40</xdr:row>
      <xdr:rowOff>38100</xdr:rowOff>
    </xdr:from>
    <xdr:to>
      <xdr:col>9</xdr:col>
      <xdr:colOff>476919</xdr:colOff>
      <xdr:row>55</xdr:row>
      <xdr:rowOff>86071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6475" y="6029325"/>
          <a:ext cx="4791744" cy="2476846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676275</xdr:colOff>
      <xdr:row>21</xdr:row>
      <xdr:rowOff>9525</xdr:rowOff>
    </xdr:from>
    <xdr:to>
      <xdr:col>9</xdr:col>
      <xdr:colOff>76808</xdr:colOff>
      <xdr:row>31</xdr:row>
      <xdr:rowOff>133593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4575" y="3829050"/>
          <a:ext cx="4353533" cy="174331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362729</xdr:colOff>
      <xdr:row>20</xdr:row>
      <xdr:rowOff>57181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58200" y="3495675"/>
          <a:ext cx="5582429" cy="2191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Destination%20Eg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Destination%20Egypt%20ETI%20%20till%2028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Des%20Red%20Sea%20(Eti%20Hung)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ael\2024\Des.Red%20%20%20Sea%20(Eti%20Hung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edit%20Manager\travel%20agent\2023\Nov\cairo%20%20express%20%20trav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Destination%20-ETI%20Dec/Destination%20Egypt%20ET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c 2024"/>
      <sheetName val="Room Type"/>
      <sheetName val="Syste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c 2024"/>
      <sheetName val="Room Type"/>
      <sheetName val="System"/>
      <sheetName val="Dec 2024 (2)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24"/>
      <sheetName val="rate code"/>
      <sheetName val="Statement Tax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jan 2024"/>
      <sheetName val="rate code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.23"/>
      <sheetName val="rate code"/>
      <sheetName val="Sheet1"/>
      <sheetName val="TAX 30.11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ec 2024"/>
      <sheetName val="Room Type"/>
      <sheetName val="System"/>
      <sheetName val="Dec 2024 till 20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>
      <selection activeCell="C2" sqref="C2:J57"/>
    </sheetView>
  </sheetViews>
  <sheetFormatPr defaultRowHeight="12.75"/>
  <cols>
    <col min="2" max="2" width="8.140625" bestFit="1" customWidth="1"/>
    <col min="3" max="3" width="18.85546875" bestFit="1" customWidth="1"/>
    <col min="4" max="4" width="18.85546875" customWidth="1"/>
    <col min="5" max="6" width="18.7109375" bestFit="1" customWidth="1"/>
    <col min="7" max="7" width="18.85546875" bestFit="1" customWidth="1"/>
    <col min="8" max="8" width="13" bestFit="1" customWidth="1"/>
    <col min="9" max="9" width="14.28515625" bestFit="1" customWidth="1"/>
    <col min="10" max="10" width="17.140625" bestFit="1" customWidth="1"/>
  </cols>
  <sheetData>
    <row r="1" spans="1:12" ht="24" customHeight="1" thickTop="1" thickBot="1">
      <c r="A1" s="5"/>
      <c r="B1" s="5"/>
      <c r="C1" s="6" t="s">
        <v>8</v>
      </c>
      <c r="D1" s="1" t="s">
        <v>12</v>
      </c>
      <c r="E1" s="4" t="s">
        <v>1</v>
      </c>
      <c r="F1" s="4" t="s">
        <v>2</v>
      </c>
      <c r="G1" s="4" t="s">
        <v>3</v>
      </c>
      <c r="H1" s="1" t="s">
        <v>0</v>
      </c>
      <c r="I1" s="1" t="s">
        <v>7</v>
      </c>
      <c r="J1" s="4" t="s">
        <v>6</v>
      </c>
    </row>
    <row r="2" spans="1:12" s="2" customFormat="1" ht="20.100000000000001" customHeight="1" thickTop="1">
      <c r="A2" s="7"/>
      <c r="B2" s="8"/>
      <c r="C2" s="42" t="s">
        <v>25</v>
      </c>
      <c r="D2" s="43">
        <v>13414</v>
      </c>
      <c r="E2" s="27">
        <v>45617</v>
      </c>
      <c r="F2" s="28">
        <v>45627</v>
      </c>
      <c r="G2" s="28" t="s">
        <v>26</v>
      </c>
      <c r="H2" s="29">
        <f t="shared" ref="H2:H57" si="0">+F2-E2</f>
        <v>10</v>
      </c>
      <c r="I2" s="30" t="s">
        <v>27</v>
      </c>
      <c r="J2" s="31">
        <f>40*4+32*6</f>
        <v>352</v>
      </c>
      <c r="L2" s="23"/>
    </row>
    <row r="3" spans="1:12" s="2" customFormat="1" ht="20.100000000000001" customHeight="1">
      <c r="A3" s="7"/>
      <c r="B3" s="8"/>
      <c r="C3" s="44" t="s">
        <v>28</v>
      </c>
      <c r="D3" s="45">
        <v>13415</v>
      </c>
      <c r="E3" s="33">
        <v>45618</v>
      </c>
      <c r="F3" s="34">
        <v>45627</v>
      </c>
      <c r="G3" s="34" t="s">
        <v>29</v>
      </c>
      <c r="H3" s="35">
        <f t="shared" si="0"/>
        <v>9</v>
      </c>
      <c r="I3" s="36" t="s">
        <v>24</v>
      </c>
      <c r="J3" s="37">
        <f>62*3+54*6</f>
        <v>510</v>
      </c>
      <c r="L3" s="23"/>
    </row>
    <row r="4" spans="1:12" ht="15.75">
      <c r="C4" s="44" t="s">
        <v>30</v>
      </c>
      <c r="D4" s="45">
        <v>13558</v>
      </c>
      <c r="E4" s="33">
        <v>45624</v>
      </c>
      <c r="F4" s="34">
        <v>45631</v>
      </c>
      <c r="G4" s="34" t="s">
        <v>29</v>
      </c>
      <c r="H4" s="35">
        <f t="shared" si="0"/>
        <v>7</v>
      </c>
      <c r="I4" s="36">
        <f>27*2</f>
        <v>54</v>
      </c>
      <c r="J4" s="37">
        <f t="shared" ref="J4:J48" si="1">+I4*H4</f>
        <v>378</v>
      </c>
    </row>
    <row r="5" spans="1:12" s="2" customFormat="1" ht="15.75">
      <c r="C5" s="44" t="s">
        <v>31</v>
      </c>
      <c r="D5" s="45">
        <v>13559</v>
      </c>
      <c r="E5" s="38">
        <v>45624</v>
      </c>
      <c r="F5" s="34">
        <v>45631</v>
      </c>
      <c r="G5" s="34" t="s">
        <v>32</v>
      </c>
      <c r="H5" s="35">
        <f t="shared" si="0"/>
        <v>7</v>
      </c>
      <c r="I5" s="36">
        <v>40</v>
      </c>
      <c r="J5" s="37">
        <f t="shared" si="1"/>
        <v>280</v>
      </c>
    </row>
    <row r="6" spans="1:12" ht="15.75">
      <c r="C6" s="44" t="s">
        <v>33</v>
      </c>
      <c r="D6" s="45">
        <v>13565</v>
      </c>
      <c r="E6" s="38">
        <v>45610</v>
      </c>
      <c r="F6" s="34">
        <v>45631</v>
      </c>
      <c r="G6" s="34" t="s">
        <v>32</v>
      </c>
      <c r="H6" s="35">
        <f t="shared" si="0"/>
        <v>21</v>
      </c>
      <c r="I6" s="36" t="s">
        <v>22</v>
      </c>
      <c r="J6" s="37">
        <f>46*11+40*10</f>
        <v>906</v>
      </c>
    </row>
    <row r="7" spans="1:12" ht="15.75">
      <c r="C7" s="44" t="s">
        <v>34</v>
      </c>
      <c r="D7" s="45">
        <v>13566</v>
      </c>
      <c r="E7" s="38">
        <v>45610</v>
      </c>
      <c r="F7" s="34">
        <v>45631</v>
      </c>
      <c r="G7" s="34" t="s">
        <v>26</v>
      </c>
      <c r="H7" s="35">
        <f t="shared" si="0"/>
        <v>21</v>
      </c>
      <c r="I7" s="36" t="s">
        <v>27</v>
      </c>
      <c r="J7" s="37">
        <f>40*11+32*10</f>
        <v>760</v>
      </c>
    </row>
    <row r="8" spans="1:12" ht="15.75">
      <c r="C8" s="44" t="s">
        <v>35</v>
      </c>
      <c r="D8" s="45">
        <v>13584</v>
      </c>
      <c r="E8" s="38">
        <v>45625</v>
      </c>
      <c r="F8" s="34">
        <v>45632</v>
      </c>
      <c r="G8" s="34" t="s">
        <v>26</v>
      </c>
      <c r="H8" s="35">
        <f t="shared" si="0"/>
        <v>7</v>
      </c>
      <c r="I8" s="36">
        <v>32</v>
      </c>
      <c r="J8" s="37">
        <f t="shared" si="1"/>
        <v>224</v>
      </c>
    </row>
    <row r="9" spans="1:12" ht="15.75">
      <c r="C9" s="44" t="s">
        <v>35</v>
      </c>
      <c r="D9" s="45">
        <v>13585</v>
      </c>
      <c r="E9" s="38">
        <v>45625</v>
      </c>
      <c r="F9" s="34">
        <v>45632</v>
      </c>
      <c r="G9" s="34" t="s">
        <v>26</v>
      </c>
      <c r="H9" s="35">
        <f t="shared" si="0"/>
        <v>7</v>
      </c>
      <c r="I9" s="36">
        <v>32</v>
      </c>
      <c r="J9" s="37">
        <f t="shared" si="1"/>
        <v>224</v>
      </c>
    </row>
    <row r="10" spans="1:12" ht="15.75">
      <c r="C10" s="44" t="s">
        <v>36</v>
      </c>
      <c r="D10" s="45">
        <v>13587</v>
      </c>
      <c r="E10" s="38">
        <v>45618</v>
      </c>
      <c r="F10" s="34">
        <v>45632</v>
      </c>
      <c r="G10" s="34" t="s">
        <v>32</v>
      </c>
      <c r="H10" s="35">
        <f t="shared" si="0"/>
        <v>14</v>
      </c>
      <c r="I10" s="36" t="s">
        <v>22</v>
      </c>
      <c r="J10" s="37">
        <f>46*3+40*11</f>
        <v>578</v>
      </c>
    </row>
    <row r="11" spans="1:12" ht="15.75">
      <c r="C11" s="44" t="s">
        <v>37</v>
      </c>
      <c r="D11" s="45">
        <v>13643</v>
      </c>
      <c r="E11" s="38">
        <v>45626</v>
      </c>
      <c r="F11" s="34">
        <v>45633</v>
      </c>
      <c r="G11" s="34" t="s">
        <v>26</v>
      </c>
      <c r="H11" s="35">
        <f t="shared" si="0"/>
        <v>7</v>
      </c>
      <c r="I11" s="36">
        <v>32</v>
      </c>
      <c r="J11" s="37">
        <f t="shared" si="1"/>
        <v>224</v>
      </c>
    </row>
    <row r="12" spans="1:12" ht="15.75">
      <c r="C12" s="44" t="s">
        <v>38</v>
      </c>
      <c r="D12" s="45">
        <v>13644</v>
      </c>
      <c r="E12" s="38">
        <v>45626</v>
      </c>
      <c r="F12" s="34">
        <v>45633</v>
      </c>
      <c r="G12" s="34" t="s">
        <v>26</v>
      </c>
      <c r="H12" s="35">
        <f t="shared" si="0"/>
        <v>7</v>
      </c>
      <c r="I12" s="36">
        <v>32</v>
      </c>
      <c r="J12" s="37">
        <f t="shared" si="1"/>
        <v>224</v>
      </c>
    </row>
    <row r="13" spans="1:12" ht="15.75">
      <c r="C13" s="44" t="s">
        <v>39</v>
      </c>
      <c r="D13" s="45">
        <v>13645</v>
      </c>
      <c r="E13" s="38">
        <v>45626</v>
      </c>
      <c r="F13" s="34">
        <v>45633</v>
      </c>
      <c r="G13" s="34" t="s">
        <v>26</v>
      </c>
      <c r="H13" s="35">
        <f t="shared" si="0"/>
        <v>7</v>
      </c>
      <c r="I13" s="36">
        <v>32</v>
      </c>
      <c r="J13" s="37">
        <f t="shared" si="1"/>
        <v>224</v>
      </c>
    </row>
    <row r="14" spans="1:12" ht="15.75">
      <c r="C14" s="44" t="s">
        <v>40</v>
      </c>
      <c r="D14" s="45">
        <v>13646</v>
      </c>
      <c r="E14" s="38">
        <v>45626</v>
      </c>
      <c r="F14" s="34">
        <v>45633</v>
      </c>
      <c r="G14" s="34" t="s">
        <v>41</v>
      </c>
      <c r="H14" s="35">
        <f t="shared" si="0"/>
        <v>7</v>
      </c>
      <c r="I14" s="36">
        <v>44</v>
      </c>
      <c r="J14" s="37">
        <f t="shared" si="1"/>
        <v>308</v>
      </c>
    </row>
    <row r="15" spans="1:12" ht="15.75">
      <c r="C15" s="44" t="s">
        <v>42</v>
      </c>
      <c r="D15" s="45">
        <v>13647</v>
      </c>
      <c r="E15" s="38">
        <v>45626</v>
      </c>
      <c r="F15" s="34">
        <v>45633</v>
      </c>
      <c r="G15" s="34" t="s">
        <v>32</v>
      </c>
      <c r="H15" s="35">
        <f t="shared" si="0"/>
        <v>7</v>
      </c>
      <c r="I15" s="36">
        <v>40</v>
      </c>
      <c r="J15" s="37">
        <f t="shared" si="1"/>
        <v>280</v>
      </c>
    </row>
    <row r="16" spans="1:12" ht="15.75">
      <c r="C16" s="44" t="s">
        <v>43</v>
      </c>
      <c r="D16" s="45">
        <v>13682</v>
      </c>
      <c r="E16" s="38">
        <v>45624</v>
      </c>
      <c r="F16" s="34">
        <v>45634</v>
      </c>
      <c r="G16" s="34" t="s">
        <v>41</v>
      </c>
      <c r="H16" s="35">
        <f t="shared" si="0"/>
        <v>10</v>
      </c>
      <c r="I16" s="36">
        <v>44</v>
      </c>
      <c r="J16" s="37">
        <f t="shared" si="1"/>
        <v>440</v>
      </c>
    </row>
    <row r="17" spans="3:10" ht="15.75">
      <c r="C17" s="44" t="s">
        <v>44</v>
      </c>
      <c r="D17" s="45">
        <v>13683</v>
      </c>
      <c r="E17" s="38">
        <v>45627</v>
      </c>
      <c r="F17" s="34">
        <v>45634</v>
      </c>
      <c r="G17" s="34" t="s">
        <v>26</v>
      </c>
      <c r="H17" s="35">
        <f t="shared" si="0"/>
        <v>7</v>
      </c>
      <c r="I17" s="36">
        <v>32</v>
      </c>
      <c r="J17" s="37">
        <f t="shared" si="1"/>
        <v>224</v>
      </c>
    </row>
    <row r="18" spans="3:10" ht="15.75">
      <c r="C18" s="44" t="s">
        <v>45</v>
      </c>
      <c r="D18" s="45">
        <v>13684</v>
      </c>
      <c r="E18" s="38">
        <v>45627</v>
      </c>
      <c r="F18" s="34">
        <v>45634</v>
      </c>
      <c r="G18" s="34" t="s">
        <v>41</v>
      </c>
      <c r="H18" s="35">
        <f t="shared" si="0"/>
        <v>7</v>
      </c>
      <c r="I18" s="36">
        <v>44</v>
      </c>
      <c r="J18" s="37">
        <f t="shared" si="1"/>
        <v>308</v>
      </c>
    </row>
    <row r="19" spans="3:10" ht="15.75">
      <c r="C19" s="44" t="s">
        <v>46</v>
      </c>
      <c r="D19" s="45">
        <v>13723</v>
      </c>
      <c r="E19" s="38">
        <v>45629</v>
      </c>
      <c r="F19" s="34">
        <v>45635</v>
      </c>
      <c r="G19" s="34" t="s">
        <v>32</v>
      </c>
      <c r="H19" s="35">
        <f t="shared" si="0"/>
        <v>6</v>
      </c>
      <c r="I19" s="36">
        <v>40</v>
      </c>
      <c r="J19" s="37">
        <f t="shared" si="1"/>
        <v>240</v>
      </c>
    </row>
    <row r="20" spans="3:10" ht="15.75">
      <c r="C20" s="44" t="s">
        <v>47</v>
      </c>
      <c r="D20" s="45">
        <v>13739</v>
      </c>
      <c r="E20" s="38">
        <v>45630</v>
      </c>
      <c r="F20" s="34">
        <v>45636</v>
      </c>
      <c r="G20" s="34" t="s">
        <v>48</v>
      </c>
      <c r="H20" s="35">
        <f t="shared" si="0"/>
        <v>6</v>
      </c>
      <c r="I20" s="36">
        <f>20*3</f>
        <v>60</v>
      </c>
      <c r="J20" s="37">
        <f t="shared" si="1"/>
        <v>360</v>
      </c>
    </row>
    <row r="21" spans="3:10" ht="15.75">
      <c r="C21" s="44" t="s">
        <v>49</v>
      </c>
      <c r="D21" s="45">
        <v>13820</v>
      </c>
      <c r="E21" s="38">
        <v>45624</v>
      </c>
      <c r="F21" s="34">
        <v>45638</v>
      </c>
      <c r="G21" s="34" t="s">
        <v>32</v>
      </c>
      <c r="H21" s="35">
        <f t="shared" si="0"/>
        <v>14</v>
      </c>
      <c r="I21" s="36">
        <v>40</v>
      </c>
      <c r="J21" s="37">
        <f t="shared" si="1"/>
        <v>560</v>
      </c>
    </row>
    <row r="22" spans="3:10" ht="15.75">
      <c r="C22" s="44" t="s">
        <v>50</v>
      </c>
      <c r="D22" s="45">
        <v>13821</v>
      </c>
      <c r="E22" s="38">
        <v>45624</v>
      </c>
      <c r="F22" s="34">
        <v>45638</v>
      </c>
      <c r="G22" s="34" t="s">
        <v>51</v>
      </c>
      <c r="H22" s="35">
        <f t="shared" si="0"/>
        <v>14</v>
      </c>
      <c r="I22" s="36">
        <f>16+10</f>
        <v>26</v>
      </c>
      <c r="J22" s="37">
        <f t="shared" si="1"/>
        <v>364</v>
      </c>
    </row>
    <row r="23" spans="3:10" ht="15.75">
      <c r="C23" s="44" t="s">
        <v>52</v>
      </c>
      <c r="D23" s="45">
        <v>13823</v>
      </c>
      <c r="E23" s="38">
        <v>45631</v>
      </c>
      <c r="F23" s="34">
        <v>45638</v>
      </c>
      <c r="G23" s="34" t="s">
        <v>32</v>
      </c>
      <c r="H23" s="35">
        <f t="shared" si="0"/>
        <v>7</v>
      </c>
      <c r="I23" s="36">
        <v>40</v>
      </c>
      <c r="J23" s="37">
        <f t="shared" si="1"/>
        <v>280</v>
      </c>
    </row>
    <row r="24" spans="3:10" ht="15.75">
      <c r="C24" s="44" t="s">
        <v>53</v>
      </c>
      <c r="D24" s="45">
        <v>13824</v>
      </c>
      <c r="E24" s="38">
        <v>45631</v>
      </c>
      <c r="F24" s="34">
        <v>45638</v>
      </c>
      <c r="G24" s="34" t="s">
        <v>32</v>
      </c>
      <c r="H24" s="35">
        <f t="shared" si="0"/>
        <v>7</v>
      </c>
      <c r="I24" s="36">
        <v>40</v>
      </c>
      <c r="J24" s="37">
        <f t="shared" si="1"/>
        <v>280</v>
      </c>
    </row>
    <row r="25" spans="3:10" ht="15.75">
      <c r="C25" s="44" t="s">
        <v>54</v>
      </c>
      <c r="D25" s="45">
        <v>13825</v>
      </c>
      <c r="E25" s="38">
        <v>45631</v>
      </c>
      <c r="F25" s="34">
        <v>45638</v>
      </c>
      <c r="G25" s="34" t="s">
        <v>29</v>
      </c>
      <c r="H25" s="35">
        <f t="shared" si="0"/>
        <v>7</v>
      </c>
      <c r="I25" s="36">
        <f>27*2</f>
        <v>54</v>
      </c>
      <c r="J25" s="37">
        <f t="shared" si="1"/>
        <v>378</v>
      </c>
    </row>
    <row r="26" spans="3:10" ht="15.75">
      <c r="C26" s="44" t="s">
        <v>55</v>
      </c>
      <c r="D26" s="45">
        <v>13863</v>
      </c>
      <c r="E26" s="38">
        <v>45632</v>
      </c>
      <c r="F26" s="34">
        <v>45639</v>
      </c>
      <c r="G26" s="34" t="s">
        <v>32</v>
      </c>
      <c r="H26" s="35">
        <f t="shared" si="0"/>
        <v>7</v>
      </c>
      <c r="I26" s="36">
        <v>40</v>
      </c>
      <c r="J26" s="37">
        <f t="shared" si="1"/>
        <v>280</v>
      </c>
    </row>
    <row r="27" spans="3:10" ht="15.75">
      <c r="C27" s="44" t="s">
        <v>56</v>
      </c>
      <c r="D27" s="45">
        <v>13914</v>
      </c>
      <c r="E27" s="38">
        <v>45633</v>
      </c>
      <c r="F27" s="34">
        <v>45640</v>
      </c>
      <c r="G27" s="34" t="s">
        <v>32</v>
      </c>
      <c r="H27" s="35">
        <f t="shared" si="0"/>
        <v>7</v>
      </c>
      <c r="I27" s="36">
        <v>40</v>
      </c>
      <c r="J27" s="37">
        <f t="shared" si="1"/>
        <v>280</v>
      </c>
    </row>
    <row r="28" spans="3:10" ht="15.75">
      <c r="C28" s="44" t="s">
        <v>57</v>
      </c>
      <c r="D28" s="45">
        <v>13966</v>
      </c>
      <c r="E28" s="38">
        <v>45633</v>
      </c>
      <c r="F28" s="34">
        <v>45641</v>
      </c>
      <c r="G28" s="34" t="s">
        <v>32</v>
      </c>
      <c r="H28" s="35">
        <f t="shared" si="0"/>
        <v>8</v>
      </c>
      <c r="I28" s="36">
        <v>40</v>
      </c>
      <c r="J28" s="37">
        <f t="shared" si="1"/>
        <v>320</v>
      </c>
    </row>
    <row r="29" spans="3:10" ht="15.75">
      <c r="C29" s="44" t="s">
        <v>58</v>
      </c>
      <c r="D29" s="45">
        <v>13967</v>
      </c>
      <c r="E29" s="38">
        <v>45634</v>
      </c>
      <c r="F29" s="34">
        <v>45641</v>
      </c>
      <c r="G29" s="34" t="s">
        <v>41</v>
      </c>
      <c r="H29" s="35">
        <f t="shared" si="0"/>
        <v>7</v>
      </c>
      <c r="I29" s="36">
        <v>44</v>
      </c>
      <c r="J29" s="37">
        <f t="shared" si="1"/>
        <v>308</v>
      </c>
    </row>
    <row r="30" spans="3:10" ht="15.75">
      <c r="C30" s="44" t="s">
        <v>59</v>
      </c>
      <c r="D30" s="45">
        <v>14070</v>
      </c>
      <c r="E30" s="38">
        <v>45630</v>
      </c>
      <c r="F30" s="34">
        <v>45644</v>
      </c>
      <c r="G30" s="34" t="s">
        <v>41</v>
      </c>
      <c r="H30" s="35">
        <f t="shared" si="0"/>
        <v>14</v>
      </c>
      <c r="I30" s="36">
        <v>44</v>
      </c>
      <c r="J30" s="37">
        <f t="shared" si="1"/>
        <v>616</v>
      </c>
    </row>
    <row r="31" spans="3:10" ht="15.75">
      <c r="C31" s="44" t="s">
        <v>60</v>
      </c>
      <c r="D31" s="45">
        <v>14099</v>
      </c>
      <c r="E31" s="38">
        <v>45631</v>
      </c>
      <c r="F31" s="34">
        <v>45645</v>
      </c>
      <c r="G31" s="34" t="s">
        <v>26</v>
      </c>
      <c r="H31" s="35">
        <f t="shared" si="0"/>
        <v>14</v>
      </c>
      <c r="I31" s="36">
        <v>32</v>
      </c>
      <c r="J31" s="37">
        <f t="shared" si="1"/>
        <v>448</v>
      </c>
    </row>
    <row r="32" spans="3:10" ht="15.75">
      <c r="C32" s="44" t="s">
        <v>61</v>
      </c>
      <c r="D32" s="45">
        <v>14115</v>
      </c>
      <c r="E32" s="38">
        <v>45631</v>
      </c>
      <c r="F32" s="34">
        <v>45645</v>
      </c>
      <c r="G32" s="34" t="s">
        <v>32</v>
      </c>
      <c r="H32" s="39">
        <f t="shared" si="0"/>
        <v>14</v>
      </c>
      <c r="I32" s="40">
        <v>40</v>
      </c>
      <c r="J32" s="37">
        <f t="shared" si="1"/>
        <v>560</v>
      </c>
    </row>
    <row r="33" spans="3:10" ht="15.75">
      <c r="C33" s="44" t="s">
        <v>62</v>
      </c>
      <c r="D33" s="45">
        <v>14138</v>
      </c>
      <c r="E33" s="38">
        <v>45631</v>
      </c>
      <c r="F33" s="34">
        <v>45645</v>
      </c>
      <c r="G33" s="34" t="s">
        <v>63</v>
      </c>
      <c r="H33" s="35">
        <f t="shared" si="0"/>
        <v>14</v>
      </c>
      <c r="I33" s="36">
        <f>27+10</f>
        <v>37</v>
      </c>
      <c r="J33" s="37">
        <f t="shared" si="1"/>
        <v>518</v>
      </c>
    </row>
    <row r="34" spans="3:10" ht="15.75">
      <c r="C34" s="44" t="s">
        <v>64</v>
      </c>
      <c r="D34" s="45">
        <v>14164</v>
      </c>
      <c r="E34" s="38">
        <v>45639</v>
      </c>
      <c r="F34" s="34">
        <v>45646</v>
      </c>
      <c r="G34" s="34" t="s">
        <v>26</v>
      </c>
      <c r="H34" s="35">
        <f t="shared" si="0"/>
        <v>7</v>
      </c>
      <c r="I34" s="36">
        <f>16*2</f>
        <v>32</v>
      </c>
      <c r="J34" s="37">
        <f t="shared" si="1"/>
        <v>224</v>
      </c>
    </row>
    <row r="35" spans="3:10" ht="15.75">
      <c r="C35" s="44" t="s">
        <v>64</v>
      </c>
      <c r="D35" s="45">
        <v>14166</v>
      </c>
      <c r="E35" s="38">
        <v>45639</v>
      </c>
      <c r="F35" s="34">
        <v>45646</v>
      </c>
      <c r="G35" s="34" t="s">
        <v>26</v>
      </c>
      <c r="H35" s="35">
        <f t="shared" si="0"/>
        <v>7</v>
      </c>
      <c r="I35" s="36">
        <v>32</v>
      </c>
      <c r="J35" s="37">
        <f t="shared" si="1"/>
        <v>224</v>
      </c>
    </row>
    <row r="36" spans="3:10" ht="15.75">
      <c r="C36" s="44" t="s">
        <v>65</v>
      </c>
      <c r="D36" s="45">
        <v>14167</v>
      </c>
      <c r="E36" s="38">
        <v>45639</v>
      </c>
      <c r="F36" s="34">
        <v>45646</v>
      </c>
      <c r="G36" s="34" t="s">
        <v>41</v>
      </c>
      <c r="H36" s="35">
        <f t="shared" si="0"/>
        <v>7</v>
      </c>
      <c r="I36" s="36">
        <v>44</v>
      </c>
      <c r="J36" s="37">
        <f t="shared" si="1"/>
        <v>308</v>
      </c>
    </row>
    <row r="37" spans="3:10" ht="15.75">
      <c r="C37" s="44" t="s">
        <v>66</v>
      </c>
      <c r="D37" s="45">
        <v>14210</v>
      </c>
      <c r="E37" s="38">
        <v>45640</v>
      </c>
      <c r="F37" s="34">
        <v>45647</v>
      </c>
      <c r="G37" s="34" t="s">
        <v>41</v>
      </c>
      <c r="H37" s="35">
        <f t="shared" si="0"/>
        <v>7</v>
      </c>
      <c r="I37" s="36" t="s">
        <v>67</v>
      </c>
      <c r="J37" s="37">
        <f>44*6+58</f>
        <v>322</v>
      </c>
    </row>
    <row r="38" spans="3:10" ht="15.75">
      <c r="C38" s="44" t="s">
        <v>68</v>
      </c>
      <c r="D38" s="45">
        <v>14211</v>
      </c>
      <c r="E38" s="38">
        <v>45640</v>
      </c>
      <c r="F38" s="34">
        <v>45647</v>
      </c>
      <c r="G38" s="34" t="s">
        <v>26</v>
      </c>
      <c r="H38" s="35">
        <f t="shared" si="0"/>
        <v>7</v>
      </c>
      <c r="I38" s="36" t="s">
        <v>69</v>
      </c>
      <c r="J38" s="37">
        <f>32*6+46</f>
        <v>238</v>
      </c>
    </row>
    <row r="39" spans="3:10" ht="15.75">
      <c r="C39" s="44" t="s">
        <v>70</v>
      </c>
      <c r="D39" s="45">
        <v>14257</v>
      </c>
      <c r="E39" s="38">
        <v>45641</v>
      </c>
      <c r="F39" s="34">
        <v>45648</v>
      </c>
      <c r="G39" s="34" t="s">
        <v>41</v>
      </c>
      <c r="H39" s="35">
        <f t="shared" si="0"/>
        <v>7</v>
      </c>
      <c r="I39" s="36" t="s">
        <v>67</v>
      </c>
      <c r="J39" s="37">
        <f>44*5+58*2</f>
        <v>336</v>
      </c>
    </row>
    <row r="40" spans="3:10" ht="15.75">
      <c r="C40" s="44" t="s">
        <v>71</v>
      </c>
      <c r="D40" s="45">
        <v>14258</v>
      </c>
      <c r="E40" s="38">
        <v>45641</v>
      </c>
      <c r="F40" s="34">
        <v>45648</v>
      </c>
      <c r="G40" s="34" t="s">
        <v>72</v>
      </c>
      <c r="H40" s="35">
        <f t="shared" si="0"/>
        <v>7</v>
      </c>
      <c r="I40" s="36" t="s">
        <v>73</v>
      </c>
      <c r="J40" s="37">
        <f>30*5+2*37</f>
        <v>224</v>
      </c>
    </row>
    <row r="41" spans="3:10" ht="15.75">
      <c r="C41" s="44" t="s">
        <v>71</v>
      </c>
      <c r="D41" s="45">
        <v>14259</v>
      </c>
      <c r="E41" s="38">
        <v>45641</v>
      </c>
      <c r="F41" s="34">
        <v>45648</v>
      </c>
      <c r="G41" s="34" t="s">
        <v>72</v>
      </c>
      <c r="H41" s="35">
        <f t="shared" si="0"/>
        <v>7</v>
      </c>
      <c r="I41" s="36" t="s">
        <v>73</v>
      </c>
      <c r="J41" s="37">
        <f>30*5+37*2</f>
        <v>224</v>
      </c>
    </row>
    <row r="42" spans="3:10" ht="15.75">
      <c r="C42" s="44" t="s">
        <v>74</v>
      </c>
      <c r="D42" s="45">
        <v>14275</v>
      </c>
      <c r="E42" s="38">
        <v>45643</v>
      </c>
      <c r="F42" s="34">
        <v>45649</v>
      </c>
      <c r="G42" s="34" t="s">
        <v>26</v>
      </c>
      <c r="H42" s="35">
        <f t="shared" si="0"/>
        <v>6</v>
      </c>
      <c r="I42" s="36" t="s">
        <v>69</v>
      </c>
      <c r="J42" s="37">
        <f>32*3+46*3</f>
        <v>234</v>
      </c>
    </row>
    <row r="43" spans="3:10" ht="15.75">
      <c r="C43" s="41" t="s">
        <v>75</v>
      </c>
      <c r="D43" s="32">
        <v>14363</v>
      </c>
      <c r="E43" s="38">
        <v>45645</v>
      </c>
      <c r="F43" s="34">
        <v>45652</v>
      </c>
      <c r="G43" s="34" t="s">
        <v>51</v>
      </c>
      <c r="H43" s="35">
        <f t="shared" si="0"/>
        <v>7</v>
      </c>
      <c r="I43" s="36" t="s">
        <v>76</v>
      </c>
      <c r="J43" s="37">
        <f>26+33*6</f>
        <v>224</v>
      </c>
    </row>
    <row r="44" spans="3:10" ht="15.75">
      <c r="C44" s="41" t="s">
        <v>77</v>
      </c>
      <c r="D44" s="32">
        <v>14365</v>
      </c>
      <c r="E44" s="38">
        <v>45641</v>
      </c>
      <c r="F44" s="34">
        <v>45652</v>
      </c>
      <c r="G44" s="34" t="s">
        <v>32</v>
      </c>
      <c r="H44" s="35">
        <f t="shared" si="0"/>
        <v>11</v>
      </c>
      <c r="I44" s="36" t="s">
        <v>78</v>
      </c>
      <c r="J44" s="37">
        <f>40*5+54*6</f>
        <v>524</v>
      </c>
    </row>
    <row r="45" spans="3:10" ht="15.75">
      <c r="C45" s="41" t="s">
        <v>79</v>
      </c>
      <c r="D45" s="32">
        <v>14366</v>
      </c>
      <c r="E45" s="38">
        <v>45645</v>
      </c>
      <c r="F45" s="34">
        <v>45652</v>
      </c>
      <c r="G45" s="34" t="s">
        <v>26</v>
      </c>
      <c r="H45" s="35">
        <f t="shared" si="0"/>
        <v>7</v>
      </c>
      <c r="I45" s="36" t="s">
        <v>69</v>
      </c>
      <c r="J45" s="37">
        <f>32+46*6</f>
        <v>308</v>
      </c>
    </row>
    <row r="46" spans="3:10" ht="15.75">
      <c r="C46" s="41" t="s">
        <v>80</v>
      </c>
      <c r="D46" s="32">
        <v>14407</v>
      </c>
      <c r="E46" s="38">
        <v>45643</v>
      </c>
      <c r="F46" s="34">
        <v>45652</v>
      </c>
      <c r="G46" s="34" t="s">
        <v>41</v>
      </c>
      <c r="H46" s="35">
        <f t="shared" si="0"/>
        <v>9</v>
      </c>
      <c r="I46" s="36" t="s">
        <v>67</v>
      </c>
      <c r="J46" s="37">
        <f>44*3+58*6</f>
        <v>480</v>
      </c>
    </row>
    <row r="47" spans="3:10" ht="15.75">
      <c r="C47" s="41" t="s">
        <v>81</v>
      </c>
      <c r="D47" s="46">
        <v>14364</v>
      </c>
      <c r="E47" s="47">
        <v>45645</v>
      </c>
      <c r="F47" s="48">
        <v>45652</v>
      </c>
      <c r="G47" s="34" t="s">
        <v>26</v>
      </c>
      <c r="H47" s="35">
        <f t="shared" si="0"/>
        <v>7</v>
      </c>
      <c r="I47" s="36">
        <v>32</v>
      </c>
      <c r="J47" s="37">
        <f t="shared" ref="J47" si="2">+I47*H47</f>
        <v>224</v>
      </c>
    </row>
    <row r="48" spans="3:10" ht="15.75">
      <c r="C48" s="41" t="s">
        <v>82</v>
      </c>
      <c r="D48" s="32">
        <v>14432</v>
      </c>
      <c r="E48" s="38">
        <v>45647</v>
      </c>
      <c r="F48" s="34">
        <v>45653</v>
      </c>
      <c r="G48" s="34" t="s">
        <v>41</v>
      </c>
      <c r="H48" s="35">
        <f t="shared" si="0"/>
        <v>6</v>
      </c>
      <c r="I48" s="36">
        <v>58</v>
      </c>
      <c r="J48" s="37">
        <f t="shared" si="1"/>
        <v>348</v>
      </c>
    </row>
    <row r="49" spans="3:10" ht="15.75">
      <c r="C49" s="41" t="s">
        <v>83</v>
      </c>
      <c r="D49" s="32">
        <v>14492</v>
      </c>
      <c r="E49" s="38">
        <v>45646</v>
      </c>
      <c r="F49" s="34">
        <v>45654</v>
      </c>
      <c r="G49" s="34" t="s">
        <v>32</v>
      </c>
      <c r="H49" s="35">
        <f t="shared" si="0"/>
        <v>8</v>
      </c>
      <c r="I49" s="36" t="s">
        <v>84</v>
      </c>
      <c r="J49" s="37">
        <f>54*7+62</f>
        <v>440</v>
      </c>
    </row>
    <row r="50" spans="3:10" ht="15.75">
      <c r="C50" s="41" t="s">
        <v>85</v>
      </c>
      <c r="D50" s="32">
        <v>14493</v>
      </c>
      <c r="E50" s="38">
        <v>45647</v>
      </c>
      <c r="F50" s="34">
        <v>45654</v>
      </c>
      <c r="G50" s="34" t="s">
        <v>48</v>
      </c>
      <c r="H50" s="35">
        <f t="shared" si="0"/>
        <v>7</v>
      </c>
      <c r="I50" s="36" t="s">
        <v>86</v>
      </c>
      <c r="J50" s="37">
        <f>81*6+93</f>
        <v>579</v>
      </c>
    </row>
    <row r="51" spans="3:10" ht="15.75">
      <c r="C51" s="41" t="s">
        <v>87</v>
      </c>
      <c r="D51" s="32">
        <v>14494</v>
      </c>
      <c r="E51" s="38">
        <v>45640</v>
      </c>
      <c r="F51" s="34">
        <v>45654</v>
      </c>
      <c r="G51" s="34" t="s">
        <v>32</v>
      </c>
      <c r="H51" s="35">
        <f t="shared" si="0"/>
        <v>14</v>
      </c>
      <c r="I51" s="36" t="s">
        <v>88</v>
      </c>
      <c r="J51" s="37">
        <f>40*6+54*7+62</f>
        <v>680</v>
      </c>
    </row>
    <row r="52" spans="3:10" ht="15.75">
      <c r="C52" s="41" t="s">
        <v>89</v>
      </c>
      <c r="D52" s="32">
        <v>14543</v>
      </c>
      <c r="E52" s="38">
        <v>45648</v>
      </c>
      <c r="F52" s="34">
        <v>45655</v>
      </c>
      <c r="G52" s="34" t="s">
        <v>32</v>
      </c>
      <c r="H52" s="35">
        <f t="shared" si="0"/>
        <v>7</v>
      </c>
      <c r="I52" s="36" t="s">
        <v>84</v>
      </c>
      <c r="J52" s="37">
        <f>54*5+62*2</f>
        <v>394</v>
      </c>
    </row>
    <row r="53" spans="3:10" ht="15.75">
      <c r="C53" s="41" t="s">
        <v>90</v>
      </c>
      <c r="D53" s="32">
        <v>14545</v>
      </c>
      <c r="E53" s="38">
        <v>45648</v>
      </c>
      <c r="F53" s="34">
        <v>45655</v>
      </c>
      <c r="G53" s="34" t="s">
        <v>32</v>
      </c>
      <c r="H53" s="35">
        <f t="shared" si="0"/>
        <v>7</v>
      </c>
      <c r="I53" s="36" t="s">
        <v>84</v>
      </c>
      <c r="J53" s="37">
        <f>54*5+62*2</f>
        <v>394</v>
      </c>
    </row>
    <row r="54" spans="3:10" ht="15.75">
      <c r="C54" s="41" t="s">
        <v>91</v>
      </c>
      <c r="D54" s="32">
        <v>14546</v>
      </c>
      <c r="E54" s="38">
        <v>45646</v>
      </c>
      <c r="F54" s="34">
        <v>45655</v>
      </c>
      <c r="G54" s="34" t="s">
        <v>32</v>
      </c>
      <c r="H54" s="35">
        <f t="shared" si="0"/>
        <v>9</v>
      </c>
      <c r="I54" s="36" t="s">
        <v>84</v>
      </c>
      <c r="J54" s="37">
        <f>54*7+62*2</f>
        <v>502</v>
      </c>
    </row>
    <row r="55" spans="3:10" ht="15.75">
      <c r="C55" s="41" t="s">
        <v>92</v>
      </c>
      <c r="D55" s="32">
        <v>14547</v>
      </c>
      <c r="E55" s="38">
        <v>45648</v>
      </c>
      <c r="F55" s="34">
        <v>45655</v>
      </c>
      <c r="G55" s="34" t="s">
        <v>32</v>
      </c>
      <c r="H55" s="35">
        <f t="shared" si="0"/>
        <v>7</v>
      </c>
      <c r="I55" s="36" t="s">
        <v>84</v>
      </c>
      <c r="J55" s="37">
        <f>54*5+62*2</f>
        <v>394</v>
      </c>
    </row>
    <row r="56" spans="3:10" ht="15.75">
      <c r="C56" s="41" t="s">
        <v>92</v>
      </c>
      <c r="D56" s="32">
        <v>14548</v>
      </c>
      <c r="E56" s="38">
        <v>45648</v>
      </c>
      <c r="F56" s="34">
        <v>45655</v>
      </c>
      <c r="G56" s="34" t="s">
        <v>32</v>
      </c>
      <c r="H56" s="35">
        <f t="shared" si="0"/>
        <v>7</v>
      </c>
      <c r="I56" s="36" t="s">
        <v>84</v>
      </c>
      <c r="J56" s="37">
        <f>54*5+62*2</f>
        <v>394</v>
      </c>
    </row>
    <row r="57" spans="3:10" ht="15.75">
      <c r="C57" s="41" t="s">
        <v>93</v>
      </c>
      <c r="D57" s="32"/>
      <c r="E57" s="38">
        <v>45650</v>
      </c>
      <c r="F57" s="34">
        <v>45656</v>
      </c>
      <c r="G57" s="34" t="s">
        <v>32</v>
      </c>
      <c r="H57" s="35">
        <f t="shared" si="0"/>
        <v>6</v>
      </c>
      <c r="I57" s="36" t="s">
        <v>84</v>
      </c>
      <c r="J57" s="37">
        <f>54*3+62*3</f>
        <v>348</v>
      </c>
    </row>
  </sheetData>
  <autoFilter ref="C1:J39">
    <filterColumn colId="1"/>
    <filterColumn colId="4"/>
  </autoFilter>
  <dataValidations count="3">
    <dataValidation type="list" allowBlank="1" showInputMessage="1" showErrorMessage="1" sqref="G37:G42">
      <formula1>'[1]Room Type'!$A$1:$A$24</formula1>
    </dataValidation>
    <dataValidation type="list" allowBlank="1" showInputMessage="1" showErrorMessage="1" sqref="G3:G36 G43:G57">
      <formula1>'[2]Room Type'!$A$1:$A$24</formula1>
    </dataValidation>
    <dataValidation type="list" allowBlank="1" showInputMessage="1" showErrorMessage="1" sqref="G2">
      <formula1>'[2]Room Type'!$A$1:$A$16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5"/>
  <sheetViews>
    <sheetView tabSelected="1" workbookViewId="0">
      <selection activeCell="A12" sqref="A12:XFD13"/>
    </sheetView>
  </sheetViews>
  <sheetFormatPr defaultRowHeight="12.75"/>
  <cols>
    <col min="1" max="1" width="12.5703125" style="3" customWidth="1"/>
    <col min="2" max="2" width="12" style="3" bestFit="1" customWidth="1"/>
    <col min="3" max="3" width="10.7109375" style="3" bestFit="1" customWidth="1"/>
    <col min="4" max="5" width="9.140625" style="3"/>
    <col min="6" max="7" width="13.42578125" style="3" bestFit="1" customWidth="1"/>
    <col min="8" max="8" width="9" style="3" bestFit="1" customWidth="1"/>
    <col min="9" max="9" width="9.42578125" style="3" bestFit="1" customWidth="1"/>
    <col min="10" max="10" width="10.7109375" style="3" bestFit="1" customWidth="1"/>
    <col min="11" max="11" width="10.5703125" style="3" bestFit="1" customWidth="1"/>
    <col min="12" max="13" width="6.7109375" style="3" bestFit="1" customWidth="1"/>
    <col min="14" max="14" width="11" style="3" bestFit="1" customWidth="1"/>
    <col min="15" max="15" width="11.140625" style="3" bestFit="1" customWidth="1"/>
    <col min="16" max="16" width="13.140625" style="3" bestFit="1" customWidth="1"/>
    <col min="17" max="17" width="18.42578125" style="3" bestFit="1" customWidth="1"/>
    <col min="18" max="18" width="8.7109375" style="3" bestFit="1" customWidth="1"/>
    <col min="19" max="19" width="9.140625" style="3"/>
    <col min="20" max="20" width="10.42578125" style="3" bestFit="1" customWidth="1"/>
    <col min="21" max="21" width="10.28515625" style="3" bestFit="1" customWidth="1"/>
    <col min="22" max="22" width="6.7109375" style="3" bestFit="1" customWidth="1"/>
    <col min="23" max="16384" width="9.140625" style="3"/>
  </cols>
  <sheetData>
    <row r="1" spans="1:23" ht="24.95" customHeight="1" thickTop="1">
      <c r="A1" s="10" t="s">
        <v>4</v>
      </c>
      <c r="B1" s="16" t="s">
        <v>5</v>
      </c>
      <c r="C1" s="14" t="s">
        <v>13</v>
      </c>
      <c r="D1" s="14" t="s">
        <v>14</v>
      </c>
      <c r="E1" s="11" t="s">
        <v>15</v>
      </c>
      <c r="F1" s="25" t="s">
        <v>23</v>
      </c>
      <c r="G1" s="15" t="s">
        <v>16</v>
      </c>
      <c r="H1" s="34" t="s">
        <v>51</v>
      </c>
      <c r="I1" s="26" t="s">
        <v>72</v>
      </c>
      <c r="J1" s="9" t="s">
        <v>17</v>
      </c>
      <c r="K1" s="34" t="s">
        <v>63</v>
      </c>
      <c r="L1" s="22" t="s">
        <v>9</v>
      </c>
      <c r="M1" s="21" t="s">
        <v>10</v>
      </c>
      <c r="N1" s="34" t="s">
        <v>26</v>
      </c>
      <c r="O1" s="34" t="s">
        <v>32</v>
      </c>
      <c r="P1" s="34" t="s">
        <v>41</v>
      </c>
      <c r="Q1" s="34" t="s">
        <v>29</v>
      </c>
      <c r="R1" s="9" t="s">
        <v>18</v>
      </c>
      <c r="S1" s="21" t="s">
        <v>19</v>
      </c>
      <c r="T1" s="34" t="s">
        <v>48</v>
      </c>
      <c r="U1" s="9" t="s">
        <v>20</v>
      </c>
      <c r="V1" s="9" t="s">
        <v>11</v>
      </c>
      <c r="W1" s="24" t="s">
        <v>21</v>
      </c>
    </row>
    <row r="2" spans="1:23" ht="14.25">
      <c r="A2" s="12">
        <v>45389</v>
      </c>
      <c r="B2" s="12">
        <v>45412</v>
      </c>
      <c r="C2" s="13">
        <v>17</v>
      </c>
      <c r="D2" s="13">
        <v>19</v>
      </c>
      <c r="E2" s="13">
        <v>19</v>
      </c>
      <c r="F2" s="13">
        <v>19</v>
      </c>
      <c r="G2" s="13">
        <v>10</v>
      </c>
      <c r="H2" s="17">
        <f>+C2+G2</f>
        <v>27</v>
      </c>
      <c r="I2" s="17">
        <f>+D2+G2</f>
        <v>29</v>
      </c>
      <c r="J2" s="17">
        <f>+E2+G2</f>
        <v>29</v>
      </c>
      <c r="K2" s="17">
        <f>+F2+G2</f>
        <v>29</v>
      </c>
      <c r="L2" s="20">
        <v>29</v>
      </c>
      <c r="M2" s="20">
        <v>38</v>
      </c>
      <c r="N2" s="20">
        <v>38</v>
      </c>
      <c r="O2" s="18">
        <f t="shared" ref="O2:Q2" si="0">+D2*2</f>
        <v>38</v>
      </c>
      <c r="P2" s="18">
        <f t="shared" si="0"/>
        <v>38</v>
      </c>
      <c r="Q2" s="18">
        <f t="shared" si="0"/>
        <v>38</v>
      </c>
      <c r="R2" s="19">
        <f>+(C2-2)*3</f>
        <v>45</v>
      </c>
      <c r="S2" s="19">
        <f t="shared" ref="S2:U2" si="1">+(D2-2)*3</f>
        <v>51</v>
      </c>
      <c r="T2" s="19">
        <f t="shared" si="1"/>
        <v>51</v>
      </c>
      <c r="U2" s="19">
        <f t="shared" si="1"/>
        <v>51</v>
      </c>
      <c r="V2" s="19">
        <v>51</v>
      </c>
      <c r="W2" s="19">
        <f>+N2/2</f>
        <v>19</v>
      </c>
    </row>
    <row r="3" spans="1:23" ht="14.25">
      <c r="A3" s="12">
        <v>45413</v>
      </c>
      <c r="B3" s="12">
        <v>45429</v>
      </c>
      <c r="C3" s="13">
        <v>18</v>
      </c>
      <c r="D3" s="13">
        <v>20</v>
      </c>
      <c r="E3" s="13">
        <v>22</v>
      </c>
      <c r="F3" s="13">
        <v>26</v>
      </c>
      <c r="G3" s="13">
        <v>10</v>
      </c>
      <c r="H3" s="17">
        <f t="shared" ref="H3:H10" si="2">+C3+G3</f>
        <v>28</v>
      </c>
      <c r="I3" s="17">
        <f t="shared" ref="I3:I10" si="3">+D3+G3</f>
        <v>30</v>
      </c>
      <c r="J3" s="17">
        <f t="shared" ref="J3:J10" si="4">+E3+G3</f>
        <v>32</v>
      </c>
      <c r="K3" s="17">
        <f t="shared" ref="K3:K10" si="5">+F3+G3</f>
        <v>36</v>
      </c>
      <c r="L3" s="20">
        <v>29</v>
      </c>
      <c r="M3" s="20">
        <v>38</v>
      </c>
      <c r="N3" s="18">
        <f t="shared" ref="N3:N10" si="6">+C3*2</f>
        <v>36</v>
      </c>
      <c r="O3" s="18">
        <f t="shared" ref="O3:O10" si="7">+D3*2</f>
        <v>40</v>
      </c>
      <c r="P3" s="18">
        <f t="shared" ref="P3:P10" si="8">+E3*2</f>
        <v>44</v>
      </c>
      <c r="Q3" s="18">
        <f t="shared" ref="Q3:Q10" si="9">+F3*2</f>
        <v>52</v>
      </c>
      <c r="R3" s="19">
        <f t="shared" ref="R3:R10" si="10">+(C3-2)*3</f>
        <v>48</v>
      </c>
      <c r="S3" s="19">
        <f t="shared" ref="S3:S10" si="11">+(D3-2)*3</f>
        <v>54</v>
      </c>
      <c r="T3" s="19">
        <f t="shared" ref="T3:T10" si="12">+(E3-2)*3</f>
        <v>60</v>
      </c>
      <c r="U3" s="19">
        <f t="shared" ref="U3:U10" si="13">+(F3-2)*3</f>
        <v>72</v>
      </c>
      <c r="V3" s="19">
        <v>54</v>
      </c>
      <c r="W3" s="19">
        <f t="shared" ref="W3:W10" si="14">+N3/2</f>
        <v>18</v>
      </c>
    </row>
    <row r="4" spans="1:23" ht="14.25">
      <c r="A4" s="12">
        <v>45430</v>
      </c>
      <c r="B4" s="12">
        <v>45443</v>
      </c>
      <c r="C4" s="13">
        <v>21</v>
      </c>
      <c r="D4" s="13">
        <v>23</v>
      </c>
      <c r="E4" s="13">
        <v>25</v>
      </c>
      <c r="F4" s="13">
        <v>31</v>
      </c>
      <c r="G4" s="13">
        <v>10</v>
      </c>
      <c r="H4" s="17">
        <f t="shared" si="2"/>
        <v>31</v>
      </c>
      <c r="I4" s="17">
        <f t="shared" si="3"/>
        <v>33</v>
      </c>
      <c r="J4" s="17">
        <f t="shared" si="4"/>
        <v>35</v>
      </c>
      <c r="K4" s="17">
        <f t="shared" si="5"/>
        <v>41</v>
      </c>
      <c r="L4" s="20">
        <v>29</v>
      </c>
      <c r="M4" s="20">
        <v>38</v>
      </c>
      <c r="N4" s="18">
        <f t="shared" si="6"/>
        <v>42</v>
      </c>
      <c r="O4" s="18">
        <f t="shared" si="7"/>
        <v>46</v>
      </c>
      <c r="P4" s="18">
        <f t="shared" si="8"/>
        <v>50</v>
      </c>
      <c r="Q4" s="18">
        <f t="shared" si="9"/>
        <v>62</v>
      </c>
      <c r="R4" s="19">
        <f t="shared" si="10"/>
        <v>57</v>
      </c>
      <c r="S4" s="19">
        <f t="shared" si="11"/>
        <v>63</v>
      </c>
      <c r="T4" s="19">
        <f t="shared" si="12"/>
        <v>69</v>
      </c>
      <c r="U4" s="19">
        <f t="shared" si="13"/>
        <v>87</v>
      </c>
      <c r="V4" s="19">
        <v>54</v>
      </c>
      <c r="W4" s="19">
        <f t="shared" si="14"/>
        <v>21</v>
      </c>
    </row>
    <row r="5" spans="1:23" ht="14.25">
      <c r="A5" s="12">
        <v>45444</v>
      </c>
      <c r="B5" s="12">
        <v>45471</v>
      </c>
      <c r="C5" s="13">
        <v>13</v>
      </c>
      <c r="D5" s="13">
        <v>15</v>
      </c>
      <c r="E5" s="13">
        <v>17</v>
      </c>
      <c r="F5" s="13">
        <v>23</v>
      </c>
      <c r="G5" s="13">
        <v>8</v>
      </c>
      <c r="H5" s="17">
        <f t="shared" si="2"/>
        <v>21</v>
      </c>
      <c r="I5" s="17">
        <f t="shared" si="3"/>
        <v>23</v>
      </c>
      <c r="J5" s="17">
        <f t="shared" si="4"/>
        <v>25</v>
      </c>
      <c r="K5" s="17">
        <f t="shared" si="5"/>
        <v>31</v>
      </c>
      <c r="L5" s="20">
        <v>29</v>
      </c>
      <c r="M5" s="20">
        <v>38</v>
      </c>
      <c r="N5" s="18">
        <f t="shared" si="6"/>
        <v>26</v>
      </c>
      <c r="O5" s="18">
        <f t="shared" si="7"/>
        <v>30</v>
      </c>
      <c r="P5" s="18">
        <f t="shared" si="8"/>
        <v>34</v>
      </c>
      <c r="Q5" s="18">
        <f t="shared" si="9"/>
        <v>46</v>
      </c>
      <c r="R5" s="19">
        <f t="shared" si="10"/>
        <v>33</v>
      </c>
      <c r="S5" s="19">
        <f t="shared" si="11"/>
        <v>39</v>
      </c>
      <c r="T5" s="19">
        <f t="shared" si="12"/>
        <v>45</v>
      </c>
      <c r="U5" s="19">
        <f t="shared" si="13"/>
        <v>63</v>
      </c>
      <c r="V5" s="19">
        <v>54</v>
      </c>
      <c r="W5" s="19">
        <f t="shared" si="14"/>
        <v>13</v>
      </c>
    </row>
    <row r="6" spans="1:23" ht="14.25">
      <c r="A6" s="12">
        <v>45472</v>
      </c>
      <c r="B6" s="12">
        <v>45492</v>
      </c>
      <c r="C6" s="13">
        <v>18</v>
      </c>
      <c r="D6" s="13">
        <v>20</v>
      </c>
      <c r="E6" s="13">
        <v>22</v>
      </c>
      <c r="F6" s="13">
        <v>26</v>
      </c>
      <c r="G6" s="13">
        <v>10</v>
      </c>
      <c r="H6" s="17">
        <f t="shared" si="2"/>
        <v>28</v>
      </c>
      <c r="I6" s="17">
        <f t="shared" si="3"/>
        <v>30</v>
      </c>
      <c r="J6" s="17">
        <f t="shared" si="4"/>
        <v>32</v>
      </c>
      <c r="K6" s="17">
        <f t="shared" si="5"/>
        <v>36</v>
      </c>
      <c r="L6" s="20">
        <v>29</v>
      </c>
      <c r="M6" s="20">
        <v>38</v>
      </c>
      <c r="N6" s="18">
        <f t="shared" si="6"/>
        <v>36</v>
      </c>
      <c r="O6" s="18">
        <f t="shared" si="7"/>
        <v>40</v>
      </c>
      <c r="P6" s="18">
        <f t="shared" si="8"/>
        <v>44</v>
      </c>
      <c r="Q6" s="18">
        <f t="shared" si="9"/>
        <v>52</v>
      </c>
      <c r="R6" s="19">
        <f t="shared" si="10"/>
        <v>48</v>
      </c>
      <c r="S6" s="19">
        <f t="shared" si="11"/>
        <v>54</v>
      </c>
      <c r="T6" s="19">
        <f t="shared" si="12"/>
        <v>60</v>
      </c>
      <c r="U6" s="19">
        <f t="shared" si="13"/>
        <v>72</v>
      </c>
      <c r="V6" s="19">
        <v>54</v>
      </c>
      <c r="W6" s="19">
        <f t="shared" si="14"/>
        <v>18</v>
      </c>
    </row>
    <row r="7" spans="1:23" ht="14.25">
      <c r="A7" s="12">
        <v>45493</v>
      </c>
      <c r="B7" s="12">
        <v>45534</v>
      </c>
      <c r="C7" s="13">
        <v>23</v>
      </c>
      <c r="D7" s="13">
        <v>25</v>
      </c>
      <c r="E7" s="13">
        <v>27</v>
      </c>
      <c r="F7" s="13">
        <v>33</v>
      </c>
      <c r="G7" s="13">
        <v>10</v>
      </c>
      <c r="H7" s="17">
        <f t="shared" si="2"/>
        <v>33</v>
      </c>
      <c r="I7" s="17">
        <f t="shared" si="3"/>
        <v>35</v>
      </c>
      <c r="J7" s="17">
        <f t="shared" si="4"/>
        <v>37</v>
      </c>
      <c r="K7" s="17">
        <f t="shared" si="5"/>
        <v>43</v>
      </c>
      <c r="L7" s="20">
        <v>29</v>
      </c>
      <c r="M7" s="20">
        <v>38</v>
      </c>
      <c r="N7" s="18">
        <f t="shared" si="6"/>
        <v>46</v>
      </c>
      <c r="O7" s="18">
        <f t="shared" si="7"/>
        <v>50</v>
      </c>
      <c r="P7" s="18">
        <f t="shared" si="8"/>
        <v>54</v>
      </c>
      <c r="Q7" s="18">
        <f t="shared" si="9"/>
        <v>66</v>
      </c>
      <c r="R7" s="19">
        <f t="shared" si="10"/>
        <v>63</v>
      </c>
      <c r="S7" s="19">
        <f t="shared" si="11"/>
        <v>69</v>
      </c>
      <c r="T7" s="19">
        <f t="shared" si="12"/>
        <v>75</v>
      </c>
      <c r="U7" s="19">
        <f t="shared" si="13"/>
        <v>93</v>
      </c>
      <c r="V7" s="19">
        <v>54</v>
      </c>
      <c r="W7" s="19">
        <f t="shared" si="14"/>
        <v>23</v>
      </c>
    </row>
    <row r="8" spans="1:23" ht="14.25">
      <c r="A8" s="12">
        <v>45535</v>
      </c>
      <c r="B8" s="12">
        <v>45562</v>
      </c>
      <c r="C8" s="13">
        <v>21</v>
      </c>
      <c r="D8" s="13">
        <v>23</v>
      </c>
      <c r="E8" s="13">
        <v>25</v>
      </c>
      <c r="F8" s="13">
        <v>31</v>
      </c>
      <c r="G8" s="13">
        <v>10</v>
      </c>
      <c r="H8" s="17">
        <f t="shared" si="2"/>
        <v>31</v>
      </c>
      <c r="I8" s="17">
        <f t="shared" si="3"/>
        <v>33</v>
      </c>
      <c r="J8" s="17">
        <f t="shared" si="4"/>
        <v>35</v>
      </c>
      <c r="K8" s="17">
        <f t="shared" si="5"/>
        <v>41</v>
      </c>
      <c r="L8" s="20">
        <v>29</v>
      </c>
      <c r="M8" s="20">
        <v>38</v>
      </c>
      <c r="N8" s="18">
        <f t="shared" si="6"/>
        <v>42</v>
      </c>
      <c r="O8" s="18">
        <f t="shared" si="7"/>
        <v>46</v>
      </c>
      <c r="P8" s="18">
        <f t="shared" si="8"/>
        <v>50</v>
      </c>
      <c r="Q8" s="18">
        <f t="shared" si="9"/>
        <v>62</v>
      </c>
      <c r="R8" s="19">
        <f t="shared" si="10"/>
        <v>57</v>
      </c>
      <c r="S8" s="19">
        <f t="shared" si="11"/>
        <v>63</v>
      </c>
      <c r="T8" s="19">
        <f t="shared" si="12"/>
        <v>69</v>
      </c>
      <c r="U8" s="19">
        <f t="shared" si="13"/>
        <v>87</v>
      </c>
      <c r="V8" s="19">
        <v>54</v>
      </c>
      <c r="W8" s="19">
        <f t="shared" si="14"/>
        <v>21</v>
      </c>
    </row>
    <row r="9" spans="1:23" ht="14.25">
      <c r="A9" s="12">
        <v>45563</v>
      </c>
      <c r="B9" s="12">
        <v>45576</v>
      </c>
      <c r="C9" s="13">
        <v>18</v>
      </c>
      <c r="D9" s="13">
        <v>20</v>
      </c>
      <c r="E9" s="13">
        <v>22</v>
      </c>
      <c r="F9" s="13">
        <v>26</v>
      </c>
      <c r="G9" s="13">
        <v>10</v>
      </c>
      <c r="H9" s="17">
        <f t="shared" si="2"/>
        <v>28</v>
      </c>
      <c r="I9" s="17">
        <f t="shared" si="3"/>
        <v>30</v>
      </c>
      <c r="J9" s="17">
        <f t="shared" si="4"/>
        <v>32</v>
      </c>
      <c r="K9" s="17">
        <f t="shared" si="5"/>
        <v>36</v>
      </c>
      <c r="L9" s="20">
        <v>29</v>
      </c>
      <c r="M9" s="20">
        <v>38</v>
      </c>
      <c r="N9" s="18">
        <f t="shared" si="6"/>
        <v>36</v>
      </c>
      <c r="O9" s="18">
        <f t="shared" si="7"/>
        <v>40</v>
      </c>
      <c r="P9" s="18">
        <f t="shared" si="8"/>
        <v>44</v>
      </c>
      <c r="Q9" s="18">
        <f t="shared" si="9"/>
        <v>52</v>
      </c>
      <c r="R9" s="19">
        <f t="shared" si="10"/>
        <v>48</v>
      </c>
      <c r="S9" s="19">
        <f t="shared" si="11"/>
        <v>54</v>
      </c>
      <c r="T9" s="19">
        <f t="shared" si="12"/>
        <v>60</v>
      </c>
      <c r="U9" s="19">
        <f t="shared" si="13"/>
        <v>72</v>
      </c>
      <c r="V9" s="19">
        <v>54</v>
      </c>
      <c r="W9" s="19">
        <f t="shared" si="14"/>
        <v>18</v>
      </c>
    </row>
    <row r="10" spans="1:23" ht="14.25">
      <c r="A10" s="12">
        <v>45577</v>
      </c>
      <c r="B10" s="12">
        <v>45596</v>
      </c>
      <c r="C10" s="13">
        <v>23</v>
      </c>
      <c r="D10" s="13">
        <v>25</v>
      </c>
      <c r="E10" s="13">
        <v>27</v>
      </c>
      <c r="F10" s="13">
        <v>33</v>
      </c>
      <c r="G10" s="13">
        <v>10</v>
      </c>
      <c r="H10" s="17">
        <f t="shared" si="2"/>
        <v>33</v>
      </c>
      <c r="I10" s="17">
        <f t="shared" si="3"/>
        <v>35</v>
      </c>
      <c r="J10" s="17">
        <f t="shared" si="4"/>
        <v>37</v>
      </c>
      <c r="K10" s="17">
        <f t="shared" si="5"/>
        <v>43</v>
      </c>
      <c r="L10" s="20">
        <v>29</v>
      </c>
      <c r="M10" s="20">
        <v>38</v>
      </c>
      <c r="N10" s="18">
        <f t="shared" si="6"/>
        <v>46</v>
      </c>
      <c r="O10" s="18">
        <f t="shared" si="7"/>
        <v>50</v>
      </c>
      <c r="P10" s="18">
        <f t="shared" si="8"/>
        <v>54</v>
      </c>
      <c r="Q10" s="18">
        <f t="shared" si="9"/>
        <v>66</v>
      </c>
      <c r="R10" s="19">
        <f t="shared" si="10"/>
        <v>63</v>
      </c>
      <c r="S10" s="19">
        <f t="shared" si="11"/>
        <v>69</v>
      </c>
      <c r="T10" s="19">
        <f t="shared" si="12"/>
        <v>75</v>
      </c>
      <c r="U10" s="19">
        <f t="shared" si="13"/>
        <v>93</v>
      </c>
      <c r="V10" s="19">
        <v>54</v>
      </c>
      <c r="W10" s="19">
        <f t="shared" si="14"/>
        <v>23</v>
      </c>
    </row>
    <row r="11" spans="1:23" ht="14.25">
      <c r="A11" s="12">
        <v>45597</v>
      </c>
      <c r="B11" s="12">
        <v>45620</v>
      </c>
      <c r="C11" s="13">
        <v>20</v>
      </c>
      <c r="D11" s="13">
        <v>23</v>
      </c>
      <c r="E11" s="13">
        <v>26</v>
      </c>
      <c r="F11" s="13">
        <v>31</v>
      </c>
      <c r="G11" s="13">
        <v>10</v>
      </c>
      <c r="H11" s="17">
        <f t="shared" ref="H11:H15" si="15">+C11+G11</f>
        <v>30</v>
      </c>
      <c r="I11" s="17">
        <f t="shared" ref="I11:I15" si="16">+D11+G11</f>
        <v>33</v>
      </c>
      <c r="J11" s="17">
        <f t="shared" ref="J11:J15" si="17">+E11+G11</f>
        <v>36</v>
      </c>
      <c r="K11" s="17">
        <f t="shared" ref="K11:K15" si="18">+F11+G11</f>
        <v>41</v>
      </c>
      <c r="L11" s="20"/>
      <c r="M11" s="20"/>
      <c r="N11" s="18">
        <f t="shared" ref="N11:N15" si="19">+C11*2</f>
        <v>40</v>
      </c>
      <c r="O11" s="18">
        <f t="shared" ref="O11:O15" si="20">+D11*2</f>
        <v>46</v>
      </c>
      <c r="P11" s="18">
        <f t="shared" ref="P11:P15" si="21">+E11*2</f>
        <v>52</v>
      </c>
      <c r="Q11" s="18">
        <f t="shared" ref="Q11:Q15" si="22">+F11*2</f>
        <v>62</v>
      </c>
      <c r="R11" s="19">
        <f t="shared" ref="R11:R15" si="23">+(C11-2)*3</f>
        <v>54</v>
      </c>
      <c r="S11" s="19">
        <f t="shared" ref="S11:S15" si="24">+(D11-2)*3</f>
        <v>63</v>
      </c>
      <c r="T11" s="19">
        <f t="shared" ref="T11:T15" si="25">+(E11-2)*3</f>
        <v>72</v>
      </c>
      <c r="U11" s="19">
        <f t="shared" ref="U11:U15" si="26">+(F11-2)*3</f>
        <v>87</v>
      </c>
      <c r="V11" s="19">
        <v>54</v>
      </c>
      <c r="W11" s="19">
        <f t="shared" ref="W11:W15" si="27">+N11/2</f>
        <v>20</v>
      </c>
    </row>
    <row r="12" spans="1:23" ht="14.25">
      <c r="A12" s="12">
        <v>45621</v>
      </c>
      <c r="B12" s="12">
        <v>45645</v>
      </c>
      <c r="C12" s="13">
        <v>16</v>
      </c>
      <c r="D12" s="13">
        <v>20</v>
      </c>
      <c r="E12" s="13">
        <v>22</v>
      </c>
      <c r="F12" s="13">
        <v>27</v>
      </c>
      <c r="G12" s="13">
        <v>10</v>
      </c>
      <c r="H12" s="17">
        <f t="shared" si="15"/>
        <v>26</v>
      </c>
      <c r="I12" s="17">
        <f t="shared" si="16"/>
        <v>30</v>
      </c>
      <c r="J12" s="17">
        <f t="shared" si="17"/>
        <v>32</v>
      </c>
      <c r="K12" s="17">
        <f t="shared" si="18"/>
        <v>37</v>
      </c>
      <c r="L12" s="20"/>
      <c r="M12" s="20"/>
      <c r="N12" s="18">
        <f t="shared" si="19"/>
        <v>32</v>
      </c>
      <c r="O12" s="18">
        <f t="shared" si="20"/>
        <v>40</v>
      </c>
      <c r="P12" s="18">
        <f t="shared" si="21"/>
        <v>44</v>
      </c>
      <c r="Q12" s="18">
        <f t="shared" si="22"/>
        <v>54</v>
      </c>
      <c r="R12" s="19">
        <f t="shared" si="23"/>
        <v>42</v>
      </c>
      <c r="S12" s="19">
        <f t="shared" si="24"/>
        <v>54</v>
      </c>
      <c r="T12" s="19">
        <f t="shared" si="25"/>
        <v>60</v>
      </c>
      <c r="U12" s="19">
        <f t="shared" si="26"/>
        <v>75</v>
      </c>
      <c r="V12" s="19">
        <v>54</v>
      </c>
      <c r="W12" s="19">
        <f t="shared" si="27"/>
        <v>16</v>
      </c>
    </row>
    <row r="13" spans="1:23" ht="14.25">
      <c r="A13" s="12">
        <v>45646</v>
      </c>
      <c r="B13" s="12">
        <v>45652</v>
      </c>
      <c r="C13" s="13">
        <v>23</v>
      </c>
      <c r="D13" s="13">
        <v>27</v>
      </c>
      <c r="E13" s="13">
        <v>29</v>
      </c>
      <c r="F13" s="13">
        <v>35</v>
      </c>
      <c r="G13" s="13">
        <v>10</v>
      </c>
      <c r="H13" s="17">
        <f t="shared" si="15"/>
        <v>33</v>
      </c>
      <c r="I13" s="17">
        <f t="shared" si="16"/>
        <v>37</v>
      </c>
      <c r="J13" s="17">
        <f t="shared" si="17"/>
        <v>39</v>
      </c>
      <c r="K13" s="17">
        <f t="shared" si="18"/>
        <v>45</v>
      </c>
      <c r="L13" s="20"/>
      <c r="M13" s="20"/>
      <c r="N13" s="18">
        <f t="shared" si="19"/>
        <v>46</v>
      </c>
      <c r="O13" s="18">
        <f t="shared" si="20"/>
        <v>54</v>
      </c>
      <c r="P13" s="18">
        <f t="shared" si="21"/>
        <v>58</v>
      </c>
      <c r="Q13" s="18">
        <f t="shared" si="22"/>
        <v>70</v>
      </c>
      <c r="R13" s="19">
        <f t="shared" si="23"/>
        <v>63</v>
      </c>
      <c r="S13" s="19">
        <f t="shared" si="24"/>
        <v>75</v>
      </c>
      <c r="T13" s="19">
        <f t="shared" si="25"/>
        <v>81</v>
      </c>
      <c r="U13" s="19">
        <f t="shared" si="26"/>
        <v>99</v>
      </c>
      <c r="V13" s="19">
        <v>54</v>
      </c>
      <c r="W13" s="19">
        <f t="shared" si="27"/>
        <v>23</v>
      </c>
    </row>
    <row r="14" spans="1:23" ht="14.25">
      <c r="A14" s="12">
        <v>45653</v>
      </c>
      <c r="B14" s="12">
        <v>45661</v>
      </c>
      <c r="C14" s="13">
        <v>27</v>
      </c>
      <c r="D14" s="13">
        <v>31</v>
      </c>
      <c r="E14" s="13">
        <v>33</v>
      </c>
      <c r="F14" s="13">
        <v>38</v>
      </c>
      <c r="G14" s="13">
        <v>10</v>
      </c>
      <c r="H14" s="17">
        <f t="shared" si="15"/>
        <v>37</v>
      </c>
      <c r="I14" s="17">
        <f t="shared" si="16"/>
        <v>41</v>
      </c>
      <c r="J14" s="17">
        <f t="shared" si="17"/>
        <v>43</v>
      </c>
      <c r="K14" s="17">
        <f t="shared" si="18"/>
        <v>48</v>
      </c>
      <c r="L14" s="20"/>
      <c r="M14" s="20"/>
      <c r="N14" s="18">
        <f t="shared" si="19"/>
        <v>54</v>
      </c>
      <c r="O14" s="18">
        <f t="shared" si="20"/>
        <v>62</v>
      </c>
      <c r="P14" s="18">
        <f t="shared" si="21"/>
        <v>66</v>
      </c>
      <c r="Q14" s="18">
        <f t="shared" si="22"/>
        <v>76</v>
      </c>
      <c r="R14" s="19">
        <f t="shared" si="23"/>
        <v>75</v>
      </c>
      <c r="S14" s="19">
        <f t="shared" si="24"/>
        <v>87</v>
      </c>
      <c r="T14" s="19">
        <f t="shared" si="25"/>
        <v>93</v>
      </c>
      <c r="U14" s="19">
        <f t="shared" si="26"/>
        <v>108</v>
      </c>
      <c r="V14" s="19">
        <v>54</v>
      </c>
      <c r="W14" s="19">
        <f t="shared" si="27"/>
        <v>27</v>
      </c>
    </row>
    <row r="15" spans="1:23" ht="14.25">
      <c r="A15" s="12">
        <v>45662</v>
      </c>
      <c r="B15" s="12">
        <v>45688</v>
      </c>
      <c r="C15" s="13">
        <v>16</v>
      </c>
      <c r="D15" s="13">
        <v>20</v>
      </c>
      <c r="E15" s="13">
        <v>22</v>
      </c>
      <c r="F15" s="13">
        <v>27</v>
      </c>
      <c r="G15" s="13">
        <v>10</v>
      </c>
      <c r="H15" s="17">
        <f t="shared" si="15"/>
        <v>26</v>
      </c>
      <c r="I15" s="17">
        <f t="shared" si="16"/>
        <v>30</v>
      </c>
      <c r="J15" s="17">
        <f t="shared" si="17"/>
        <v>32</v>
      </c>
      <c r="K15" s="17">
        <f t="shared" si="18"/>
        <v>37</v>
      </c>
      <c r="L15" s="20"/>
      <c r="M15" s="20"/>
      <c r="N15" s="18">
        <f t="shared" si="19"/>
        <v>32</v>
      </c>
      <c r="O15" s="18">
        <f t="shared" si="20"/>
        <v>40</v>
      </c>
      <c r="P15" s="18">
        <f t="shared" si="21"/>
        <v>44</v>
      </c>
      <c r="Q15" s="18">
        <f t="shared" si="22"/>
        <v>54</v>
      </c>
      <c r="R15" s="19">
        <f t="shared" si="23"/>
        <v>42</v>
      </c>
      <c r="S15" s="19">
        <f t="shared" si="24"/>
        <v>54</v>
      </c>
      <c r="T15" s="19">
        <f t="shared" si="25"/>
        <v>60</v>
      </c>
      <c r="U15" s="19">
        <f t="shared" si="26"/>
        <v>75</v>
      </c>
      <c r="V15" s="19">
        <v>54</v>
      </c>
      <c r="W15" s="19">
        <f t="shared" si="27"/>
        <v>16</v>
      </c>
    </row>
  </sheetData>
  <dataValidations count="5">
    <dataValidation type="list" allowBlank="1" showInputMessage="1" showErrorMessage="1" sqref="V1">
      <formula1>'[3]rate code'!$A$1:$A$25</formula1>
    </dataValidation>
    <dataValidation type="list" allowBlank="1" showInputMessage="1" showErrorMessage="1" sqref="U1">
      <formula1>'[4]rate code'!$A$1:$A$25</formula1>
    </dataValidation>
    <dataValidation type="list" allowBlank="1" showInputMessage="1" showErrorMessage="1" sqref="M1 R1:S1 J1">
      <formula1>'[5]rate code'!$A$1:$A$25</formula1>
    </dataValidation>
    <dataValidation type="list" allowBlank="1" showInputMessage="1" showErrorMessage="1" sqref="K1 H1 N1:Q1 T1">
      <formula1>'[6]Room Type'!$A$1:$A$24</formula1>
    </dataValidation>
    <dataValidation type="list" allowBlank="1" showInputMessage="1" showErrorMessage="1" sqref="I1">
      <formula1>'[1]Room Type'!$A$1:$A$24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statment</vt:lpstr>
      <vt:lpstr>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Area-Credit2</cp:lastModifiedBy>
  <cp:lastPrinted>2022-12-03T08:03:17Z</cp:lastPrinted>
  <dcterms:created xsi:type="dcterms:W3CDTF">2016-10-13T07:40:59Z</dcterms:created>
  <dcterms:modified xsi:type="dcterms:W3CDTF">2024-12-30T15:48:06Z</dcterms:modified>
</cp:coreProperties>
</file>