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tcave\work\Credit_App\Credit_app_v3_test\test files\"/>
    </mc:Choice>
  </mc:AlternateContent>
  <xr:revisionPtr revIDLastSave="0" documentId="13_ncr:1_{062F3B3D-0DDD-4E78-952F-FCF34648E8D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atment" sheetId="6" r:id="rId1"/>
    <sheet name="contract" sheetId="7" r:id="rId2"/>
    <sheet name="spo from 14.07 to 11.10" sheetId="34" r:id="rId3"/>
    <sheet name="spo from 12.10 to 15.11" sheetId="36" r:id="rId4"/>
    <sheet name="spo from 16.11 to 28.02" sheetId="35" r:id="rId5"/>
  </sheets>
  <externalReferences>
    <externalReference r:id="rId6"/>
    <externalReference r:id="rId7"/>
    <externalReference r:id="rId8"/>
    <externalReference r:id="rId9"/>
  </externalReferences>
  <definedNames>
    <definedName name="_xlnm._FilterDatabase" localSheetId="0" hidden="1">statment!$B$1:$J$170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6" l="1"/>
  <c r="J5" i="6" s="1"/>
  <c r="H4" i="6"/>
  <c r="J4" i="6" s="1"/>
  <c r="H3" i="6"/>
  <c r="J3" i="6" s="1"/>
  <c r="H2" i="6"/>
  <c r="J2" i="6" s="1"/>
  <c r="P20" i="34" l="1"/>
  <c r="P19" i="34"/>
  <c r="J12" i="34" l="1"/>
  <c r="I12" i="34"/>
  <c r="G12" i="34"/>
  <c r="F12" i="34"/>
  <c r="E12" i="34"/>
  <c r="H12" i="34" s="1"/>
  <c r="D12" i="34"/>
  <c r="H11" i="34"/>
  <c r="F11" i="34"/>
  <c r="E11" i="34"/>
  <c r="D11" i="34"/>
  <c r="J11" i="34" s="1"/>
  <c r="H10" i="34"/>
  <c r="G10" i="34"/>
  <c r="F10" i="34"/>
  <c r="D10" i="34"/>
  <c r="I10" i="34" s="1"/>
  <c r="I9" i="34"/>
  <c r="G9" i="34"/>
  <c r="F9" i="34"/>
  <c r="E9" i="34"/>
  <c r="H9" i="34" s="1"/>
  <c r="D9" i="34"/>
  <c r="J9" i="34" s="1"/>
  <c r="H8" i="34"/>
  <c r="F8" i="34"/>
  <c r="E8" i="34"/>
  <c r="D8" i="34"/>
  <c r="J8" i="34" s="1"/>
  <c r="I7" i="34"/>
  <c r="G7" i="34"/>
  <c r="F7" i="34"/>
  <c r="E7" i="34"/>
  <c r="H7" i="34" s="1"/>
  <c r="D7" i="34"/>
  <c r="J7" i="34" s="1"/>
  <c r="J6" i="34"/>
  <c r="H6" i="34"/>
  <c r="F6" i="34"/>
  <c r="E6" i="34"/>
  <c r="D6" i="34"/>
  <c r="I6" i="34" s="1"/>
  <c r="E57" i="7"/>
  <c r="E4" i="36"/>
  <c r="D4" i="36"/>
  <c r="I4" i="36" s="1"/>
  <c r="H4" i="36"/>
  <c r="F4" i="36"/>
  <c r="H5" i="36"/>
  <c r="H3" i="36"/>
  <c r="H2" i="36"/>
  <c r="J5" i="36"/>
  <c r="I5" i="36"/>
  <c r="G5" i="36"/>
  <c r="F5" i="36"/>
  <c r="J3" i="36"/>
  <c r="I3" i="36"/>
  <c r="G3" i="36"/>
  <c r="F3" i="36"/>
  <c r="J2" i="36"/>
  <c r="I2" i="36"/>
  <c r="G2" i="36"/>
  <c r="J3" i="35"/>
  <c r="J4" i="35"/>
  <c r="J5" i="35"/>
  <c r="H3" i="35"/>
  <c r="H4" i="35"/>
  <c r="H5" i="35"/>
  <c r="G3" i="35"/>
  <c r="I3" i="35" s="1"/>
  <c r="G4" i="35"/>
  <c r="I4" i="35" s="1"/>
  <c r="G5" i="35"/>
  <c r="I5" i="35" s="1"/>
  <c r="G6" i="34" l="1"/>
  <c r="I8" i="34"/>
  <c r="I11" i="34"/>
  <c r="G8" i="34"/>
  <c r="J10" i="34"/>
  <c r="G11" i="34"/>
  <c r="G4" i="36"/>
  <c r="J4" i="36"/>
  <c r="F4" i="35"/>
  <c r="F5" i="35"/>
  <c r="F3" i="35"/>
  <c r="F2" i="35"/>
  <c r="E2" i="35"/>
  <c r="H2" i="35" s="1"/>
  <c r="D2" i="35"/>
  <c r="G2" i="35" s="1"/>
  <c r="I2" i="35" s="1"/>
  <c r="H11" i="7"/>
  <c r="H12" i="7"/>
  <c r="G12" i="7"/>
  <c r="F14" i="7"/>
  <c r="F13" i="7"/>
  <c r="F12" i="7"/>
  <c r="F11" i="7"/>
  <c r="F10" i="7"/>
  <c r="F9" i="7"/>
  <c r="F8" i="7"/>
  <c r="E14" i="7"/>
  <c r="H14" i="7" s="1"/>
  <c r="E13" i="7"/>
  <c r="H13" i="7" s="1"/>
  <c r="E11" i="7"/>
  <c r="E10" i="7"/>
  <c r="H10" i="7" s="1"/>
  <c r="E9" i="7"/>
  <c r="H9" i="7" s="1"/>
  <c r="E8" i="7"/>
  <c r="H8" i="7" s="1"/>
  <c r="D14" i="7"/>
  <c r="G14" i="7" s="1"/>
  <c r="D13" i="7"/>
  <c r="G13" i="7" s="1"/>
  <c r="D12" i="7"/>
  <c r="D11" i="7"/>
  <c r="G11" i="7" s="1"/>
  <c r="D10" i="7"/>
  <c r="G10" i="7" s="1"/>
  <c r="D9" i="7"/>
  <c r="G9" i="7" s="1"/>
  <c r="D8" i="7"/>
  <c r="G8" i="7" s="1"/>
  <c r="J2" i="35" l="1"/>
  <c r="J14" i="7"/>
  <c r="I14" i="7"/>
  <c r="J13" i="7" l="1"/>
  <c r="I13" i="7"/>
  <c r="J12" i="7"/>
  <c r="I12" i="7"/>
  <c r="J11" i="7"/>
  <c r="I11" i="7"/>
  <c r="J10" i="7"/>
  <c r="I10" i="7"/>
  <c r="J9" i="7"/>
  <c r="I9" i="7"/>
  <c r="J8" i="7"/>
  <c r="I8" i="7"/>
  <c r="I3" i="34" l="1"/>
  <c r="I4" i="34"/>
  <c r="I5" i="34"/>
  <c r="I2" i="34"/>
  <c r="G3" i="34"/>
  <c r="G4" i="34"/>
  <c r="G5" i="34"/>
  <c r="G2" i="34"/>
  <c r="F4" i="34" l="1"/>
  <c r="F5" i="34"/>
  <c r="F3" i="34"/>
  <c r="J2" i="34"/>
  <c r="J5" i="34" l="1"/>
  <c r="J4" i="34"/>
  <c r="J3" i="34"/>
  <c r="J3" i="7"/>
  <c r="J4" i="7"/>
  <c r="J5" i="7"/>
  <c r="J6" i="7"/>
  <c r="J7" i="7"/>
  <c r="J2" i="7"/>
  <c r="I3" i="7" l="1"/>
  <c r="I4" i="7"/>
  <c r="I5" i="7"/>
  <c r="I6" i="7"/>
  <c r="I7" i="7"/>
  <c r="I2" i="7"/>
</calcChain>
</file>

<file path=xl/sharedStrings.xml><?xml version="1.0" encoding="utf-8"?>
<sst xmlns="http://schemas.openxmlformats.org/spreadsheetml/2006/main" count="56" uniqueCount="22">
  <si>
    <t>Night</t>
  </si>
  <si>
    <t>Arrival</t>
  </si>
  <si>
    <t>Departure</t>
  </si>
  <si>
    <t>Rate code</t>
  </si>
  <si>
    <t>Amount-hotel</t>
  </si>
  <si>
    <t>first date</t>
  </si>
  <si>
    <t>second date</t>
  </si>
  <si>
    <t>Rate $</t>
  </si>
  <si>
    <t>Res_date</t>
  </si>
  <si>
    <t>Booking No.</t>
  </si>
  <si>
    <t>Invoice No.</t>
  </si>
  <si>
    <t>SGL-BUN</t>
  </si>
  <si>
    <t>SGL-CH</t>
  </si>
  <si>
    <t>DBL-BUN+CH</t>
  </si>
  <si>
    <t xml:space="preserve">TPL-BUNG </t>
  </si>
  <si>
    <t xml:space="preserve">DBL-DEX </t>
  </si>
  <si>
    <t>TPL-DEX</t>
  </si>
  <si>
    <t>SGL-DEX</t>
  </si>
  <si>
    <t xml:space="preserve">DBL-BUNG </t>
  </si>
  <si>
    <t>pax</t>
  </si>
  <si>
    <t>jon</t>
  </si>
  <si>
    <t>21-01-205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</si>
</sst>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_-* #,##0.00\-;_-* &quot;-&quot;??_-;_-@_-"/>
    <numFmt numFmtId="165" formatCode="dd/mm/yyyy;@"/>
  </numFmts>
  <fonts count="14" x14ac:knownFonts="1">
    <font>
      <sz val="10"/>
      <name val="Arial"/>
      <charset val="178"/>
    </font>
    <font>
      <sz val="10"/>
      <name val="Arial"/>
      <family val="2"/>
    </font>
    <font>
      <b/>
      <sz val="14"/>
      <color indexed="18"/>
      <name val="Times New Roman"/>
      <family val="1"/>
    </font>
    <font>
      <sz val="10"/>
      <name val="Arial"/>
      <family val="2"/>
    </font>
    <font>
      <sz val="11"/>
      <color indexed="8"/>
      <name val="Arial"/>
      <family val="2"/>
    </font>
    <font>
      <sz val="11"/>
      <color theme="1"/>
      <name val="Calibri"/>
      <family val="2"/>
      <charset val="178"/>
      <scheme val="minor"/>
    </font>
    <font>
      <sz val="11"/>
      <color theme="1"/>
      <name val="Arial"/>
      <family val="2"/>
    </font>
    <font>
      <sz val="11"/>
      <color rgb="FF7D353B"/>
      <name val="Courier New"/>
      <family val="3"/>
    </font>
    <font>
      <sz val="11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1"/>
      <color theme="1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00"/>
      </patternFill>
    </fill>
    <fill>
      <patternFill patternType="solid">
        <fgColor theme="3" tint="0.79998168889431442"/>
        <bgColor rgb="FFFFFF00"/>
      </patternFill>
    </fill>
    <fill>
      <patternFill patternType="solid">
        <fgColor theme="5" tint="0.79998168889431442"/>
        <bgColor rgb="FF92D05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rgb="FF92D050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7" fillId="2" borderId="0" xfId="0" applyFont="1" applyFill="1"/>
    <xf numFmtId="0" fontId="2" fillId="4" borderId="1" xfId="0" applyFont="1" applyFill="1" applyBorder="1" applyAlignment="1">
      <alignment horizontal="center" vertical="center"/>
    </xf>
    <xf numFmtId="0" fontId="6" fillId="6" borderId="4" xfId="0" applyNumberFormat="1" applyFont="1" applyFill="1" applyBorder="1" applyAlignment="1">
      <alignment horizontal="center"/>
    </xf>
    <xf numFmtId="0" fontId="6" fillId="5" borderId="4" xfId="0" applyNumberFormat="1" applyFont="1" applyFill="1" applyBorder="1" applyAlignment="1">
      <alignment horizontal="center"/>
    </xf>
    <xf numFmtId="0" fontId="6" fillId="7" borderId="4" xfId="0" applyNumberFormat="1" applyFont="1" applyFill="1" applyBorder="1" applyAlignment="1">
      <alignment horizontal="center"/>
    </xf>
    <xf numFmtId="14" fontId="6" fillId="0" borderId="4" xfId="0" applyNumberFormat="1" applyFont="1" applyBorder="1" applyAlignment="1">
      <alignment horizontal="center"/>
    </xf>
    <xf numFmtId="0" fontId="8" fillId="8" borderId="4" xfId="0" applyFont="1" applyFill="1" applyBorder="1" applyAlignment="1">
      <alignment horizontal="center"/>
    </xf>
    <xf numFmtId="0" fontId="9" fillId="0" borderId="3" xfId="0" applyNumberFormat="1" applyFont="1" applyBorder="1" applyAlignment="1">
      <alignment horizontal="center" vertical="center"/>
    </xf>
    <xf numFmtId="0" fontId="10" fillId="0" borderId="3" xfId="0" applyNumberFormat="1" applyFont="1" applyBorder="1" applyAlignment="1">
      <alignment horizontal="center"/>
    </xf>
    <xf numFmtId="0" fontId="6" fillId="0" borderId="5" xfId="0" applyNumberFormat="1" applyFont="1" applyBorder="1" applyAlignment="1">
      <alignment horizontal="center" vertical="center"/>
    </xf>
    <xf numFmtId="0" fontId="1" fillId="0" borderId="6" xfId="0" applyNumberFormat="1" applyFont="1" applyBorder="1" applyAlignment="1"/>
    <xf numFmtId="0" fontId="11" fillId="3" borderId="7" xfId="0" applyNumberFormat="1" applyFont="1" applyFill="1" applyBorder="1" applyAlignment="1">
      <alignment horizontal="center"/>
    </xf>
    <xf numFmtId="14" fontId="6" fillId="0" borderId="3" xfId="0" applyNumberFormat="1" applyFont="1" applyBorder="1"/>
    <xf numFmtId="0" fontId="6" fillId="3" borderId="3" xfId="0" applyNumberFormat="1" applyFont="1" applyFill="1" applyBorder="1" applyAlignment="1">
      <alignment horizontal="center"/>
    </xf>
    <xf numFmtId="0" fontId="6" fillId="9" borderId="3" xfId="0" applyNumberFormat="1" applyFont="1" applyFill="1" applyBorder="1" applyAlignment="1">
      <alignment horizontal="center"/>
    </xf>
    <xf numFmtId="14" fontId="6" fillId="0" borderId="4" xfId="0" applyNumberFormat="1" applyFont="1" applyBorder="1"/>
    <xf numFmtId="0" fontId="6" fillId="3" borderId="4" xfId="0" applyNumberFormat="1" applyFont="1" applyFill="1" applyBorder="1" applyAlignment="1">
      <alignment horizontal="center"/>
    </xf>
    <xf numFmtId="0" fontId="6" fillId="9" borderId="4" xfId="0" applyNumberFormat="1" applyFont="1" applyFill="1" applyBorder="1" applyAlignment="1">
      <alignment horizontal="center"/>
    </xf>
    <xf numFmtId="0" fontId="0" fillId="0" borderId="0" xfId="0" applyFill="1"/>
    <xf numFmtId="14" fontId="12" fillId="4" borderId="8" xfId="0" applyNumberFormat="1" applyFont="1" applyFill="1" applyBorder="1" applyAlignment="1">
      <alignment horizontal="center"/>
    </xf>
    <xf numFmtId="16" fontId="0" fillId="0" borderId="0" xfId="0" applyNumberFormat="1"/>
    <xf numFmtId="0" fontId="6" fillId="3" borderId="9" xfId="0" applyNumberFormat="1" applyFont="1" applyFill="1" applyBorder="1" applyAlignment="1">
      <alignment horizontal="center"/>
    </xf>
    <xf numFmtId="14" fontId="0" fillId="0" borderId="0" xfId="0" applyNumberFormat="1"/>
    <xf numFmtId="165" fontId="4" fillId="4" borderId="2" xfId="0" applyNumberFormat="1" applyFont="1" applyFill="1" applyBorder="1" applyAlignment="1">
      <alignment horizontal="center"/>
    </xf>
    <xf numFmtId="164" fontId="0" fillId="0" borderId="0" xfId="1" applyFont="1"/>
    <xf numFmtId="1" fontId="12" fillId="4" borderId="2" xfId="0" applyNumberFormat="1" applyFont="1" applyFill="1" applyBorder="1" applyAlignment="1">
      <alignment horizontal="center"/>
    </xf>
    <xf numFmtId="165" fontId="13" fillId="4" borderId="2" xfId="0" applyNumberFormat="1" applyFont="1" applyFill="1" applyBorder="1" applyAlignment="1">
      <alignment horizontal="center" vertical="center"/>
    </xf>
    <xf numFmtId="3" fontId="12" fillId="0" borderId="2" xfId="1" applyNumberFormat="1" applyFont="1" applyFill="1" applyBorder="1" applyAlignment="1">
      <alignment horizontal="center"/>
    </xf>
    <xf numFmtId="164" fontId="12" fillId="0" borderId="10" xfId="1" applyFont="1" applyFill="1" applyBorder="1" applyAlignment="1">
      <alignment horizontal="right" vertical="center"/>
    </xf>
    <xf numFmtId="164" fontId="12" fillId="0" borderId="10" xfId="0" applyNumberFormat="1" applyFont="1" applyFill="1" applyBorder="1" applyAlignment="1">
      <alignment horizontal="center" vertical="center"/>
    </xf>
    <xf numFmtId="0" fontId="12" fillId="4" borderId="2" xfId="0" applyNumberFormat="1" applyFont="1" applyFill="1" applyBorder="1" applyAlignment="1">
      <alignment horizontal="center"/>
    </xf>
    <xf numFmtId="165" fontId="13" fillId="2" borderId="2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0" borderId="0" xfId="0" applyFill="1" applyBorder="1"/>
    <xf numFmtId="0" fontId="0" fillId="10" borderId="0" xfId="0" applyFill="1"/>
    <xf numFmtId="1" fontId="12" fillId="10" borderId="2" xfId="0" applyNumberFormat="1" applyFont="1" applyFill="1" applyBorder="1" applyAlignment="1">
      <alignment horizontal="center"/>
    </xf>
    <xf numFmtId="0" fontId="12" fillId="10" borderId="2" xfId="0" applyNumberFormat="1" applyFont="1" applyFill="1" applyBorder="1" applyAlignment="1">
      <alignment horizontal="center"/>
    </xf>
    <xf numFmtId="165" fontId="13" fillId="10" borderId="2" xfId="0" applyNumberFormat="1" applyFont="1" applyFill="1" applyBorder="1" applyAlignment="1">
      <alignment horizontal="center" vertical="center"/>
    </xf>
    <xf numFmtId="165" fontId="4" fillId="10" borderId="2" xfId="0" applyNumberFormat="1" applyFont="1" applyFill="1" applyBorder="1" applyAlignment="1">
      <alignment horizontal="center"/>
    </xf>
    <xf numFmtId="3" fontId="12" fillId="10" borderId="2" xfId="1" applyNumberFormat="1" applyFont="1" applyFill="1" applyBorder="1" applyAlignment="1">
      <alignment horizontal="center"/>
    </xf>
    <xf numFmtId="164" fontId="12" fillId="10" borderId="10" xfId="1" applyFont="1" applyFill="1" applyBorder="1" applyAlignment="1">
      <alignment horizontal="right" vertical="center"/>
    </xf>
    <xf numFmtId="164" fontId="12" fillId="10" borderId="10" xfId="0" applyNumberFormat="1" applyFont="1" applyFill="1" applyBorder="1" applyAlignment="1">
      <alignment horizontal="center" vertical="center"/>
    </xf>
    <xf numFmtId="1" fontId="12" fillId="11" borderId="2" xfId="0" applyNumberFormat="1" applyFont="1" applyFill="1" applyBorder="1" applyAlignment="1">
      <alignment horizontal="center"/>
    </xf>
    <xf numFmtId="0" fontId="12" fillId="11" borderId="2" xfId="0" applyNumberFormat="1" applyFont="1" applyFill="1" applyBorder="1" applyAlignment="1">
      <alignment horizontal="center"/>
    </xf>
    <xf numFmtId="165" fontId="13" fillId="11" borderId="2" xfId="0" applyNumberFormat="1" applyFont="1" applyFill="1" applyBorder="1" applyAlignment="1">
      <alignment horizontal="center" vertical="center"/>
    </xf>
    <xf numFmtId="165" fontId="4" fillId="11" borderId="2" xfId="0" applyNumberFormat="1" applyFont="1" applyFill="1" applyBorder="1" applyAlignment="1">
      <alignment horizontal="center"/>
    </xf>
    <xf numFmtId="3" fontId="12" fillId="11" borderId="2" xfId="1" applyNumberFormat="1" applyFont="1" applyFill="1" applyBorder="1" applyAlignment="1">
      <alignment horizontal="center"/>
    </xf>
    <xf numFmtId="164" fontId="12" fillId="11" borderId="10" xfId="1" applyFont="1" applyFill="1" applyBorder="1" applyAlignment="1">
      <alignment horizontal="right" vertical="center"/>
    </xf>
    <xf numFmtId="164" fontId="12" fillId="11" borderId="10" xfId="0" applyNumberFormat="1" applyFont="1" applyFill="1" applyBorder="1" applyAlignment="1">
      <alignment horizontal="center" vertical="center"/>
    </xf>
    <xf numFmtId="0" fontId="0" fillId="11" borderId="0" xfId="0" applyFill="1" applyBorder="1"/>
    <xf numFmtId="0" fontId="0" fillId="11" borderId="0" xfId="0" applyFill="1"/>
  </cellXfs>
  <cellStyles count="44">
    <cellStyle name="Comma" xfId="1" builtinId="3"/>
    <cellStyle name="Normal" xfId="0" builtinId="0"/>
    <cellStyle name="Normal 10 2" xfId="2" xr:uid="{00000000-0005-0000-0000-000002000000}"/>
    <cellStyle name="Normal 10 3" xfId="3" xr:uid="{00000000-0005-0000-0000-000003000000}"/>
    <cellStyle name="Normal 10 4" xfId="4" xr:uid="{00000000-0005-0000-0000-000004000000}"/>
    <cellStyle name="Normal 140" xfId="5" xr:uid="{00000000-0005-0000-0000-000005000000}"/>
    <cellStyle name="Normal 148" xfId="6" xr:uid="{00000000-0005-0000-0000-000006000000}"/>
    <cellStyle name="Normal 149" xfId="7" xr:uid="{00000000-0005-0000-0000-000007000000}"/>
    <cellStyle name="Normal 151" xfId="8" xr:uid="{00000000-0005-0000-0000-000008000000}"/>
    <cellStyle name="Normal 152" xfId="40" xr:uid="{00000000-0005-0000-0000-000009000000}"/>
    <cellStyle name="Normal 153" xfId="9" xr:uid="{00000000-0005-0000-0000-00000A000000}"/>
    <cellStyle name="Normal 154" xfId="10" xr:uid="{00000000-0005-0000-0000-00000B000000}"/>
    <cellStyle name="Normal 157" xfId="38" xr:uid="{00000000-0005-0000-0000-00000C000000}"/>
    <cellStyle name="Normal 158" xfId="39" xr:uid="{00000000-0005-0000-0000-00000D000000}"/>
    <cellStyle name="Normal 159" xfId="11" xr:uid="{00000000-0005-0000-0000-00000E000000}"/>
    <cellStyle name="Normal 160" xfId="12" xr:uid="{00000000-0005-0000-0000-00000F000000}"/>
    <cellStyle name="Normal 162" xfId="13" xr:uid="{00000000-0005-0000-0000-000010000000}"/>
    <cellStyle name="Normal 163" xfId="14" xr:uid="{00000000-0005-0000-0000-000011000000}"/>
    <cellStyle name="Normal 165" xfId="15" xr:uid="{00000000-0005-0000-0000-000012000000}"/>
    <cellStyle name="Normal 166" xfId="16" xr:uid="{00000000-0005-0000-0000-000013000000}"/>
    <cellStyle name="Normal 19 2" xfId="17" xr:uid="{00000000-0005-0000-0000-000014000000}"/>
    <cellStyle name="Normal 19 3" xfId="18" xr:uid="{00000000-0005-0000-0000-000015000000}"/>
    <cellStyle name="Normal 19 4" xfId="19" xr:uid="{00000000-0005-0000-0000-000016000000}"/>
    <cellStyle name="Normal 2" xfId="43" xr:uid="{00000000-0005-0000-0000-000017000000}"/>
    <cellStyle name="Normal 2 2" xfId="20" xr:uid="{00000000-0005-0000-0000-000018000000}"/>
    <cellStyle name="Normal 2 3" xfId="21" xr:uid="{00000000-0005-0000-0000-000019000000}"/>
    <cellStyle name="Normal 2 4" xfId="22" xr:uid="{00000000-0005-0000-0000-00001A000000}"/>
    <cellStyle name="Normal 20 2" xfId="23" xr:uid="{00000000-0005-0000-0000-00001B000000}"/>
    <cellStyle name="Normal 20 3" xfId="24" xr:uid="{00000000-0005-0000-0000-00001C000000}"/>
    <cellStyle name="Normal 20 4" xfId="25" xr:uid="{00000000-0005-0000-0000-00001D000000}"/>
    <cellStyle name="Normal 23 2" xfId="26" xr:uid="{00000000-0005-0000-0000-00001E000000}"/>
    <cellStyle name="Normal 23 3" xfId="27" xr:uid="{00000000-0005-0000-0000-00001F000000}"/>
    <cellStyle name="Normal 23 4" xfId="28" xr:uid="{00000000-0005-0000-0000-000020000000}"/>
    <cellStyle name="Normal 3" xfId="41" xr:uid="{00000000-0005-0000-0000-000021000000}"/>
    <cellStyle name="Normal 37 2" xfId="29" xr:uid="{00000000-0005-0000-0000-000022000000}"/>
    <cellStyle name="Normal 37 3" xfId="30" xr:uid="{00000000-0005-0000-0000-000023000000}"/>
    <cellStyle name="Normal 37 4" xfId="31" xr:uid="{00000000-0005-0000-0000-000024000000}"/>
    <cellStyle name="Normal 38 2" xfId="32" xr:uid="{00000000-0005-0000-0000-000025000000}"/>
    <cellStyle name="Normal 38 3" xfId="33" xr:uid="{00000000-0005-0000-0000-000026000000}"/>
    <cellStyle name="Normal 38 4" xfId="34" xr:uid="{00000000-0005-0000-0000-000027000000}"/>
    <cellStyle name="Normal 5" xfId="42" xr:uid="{00000000-0005-0000-0000-000028000000}"/>
    <cellStyle name="Normal 9 2" xfId="35" xr:uid="{00000000-0005-0000-0000-000029000000}"/>
    <cellStyle name="Normal 9 3" xfId="36" xr:uid="{00000000-0005-0000-0000-00002A000000}"/>
    <cellStyle name="Normal 9 4" xfId="37" xr:uid="{00000000-0005-0000-0000-00002B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5.png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1333500</xdr:colOff>
      <xdr:row>171</xdr:row>
      <xdr:rowOff>123825</xdr:rowOff>
    </xdr:from>
    <xdr:to>
      <xdr:col>8</xdr:col>
      <xdr:colOff>505319</xdr:colOff>
      <xdr:row>189</xdr:row>
      <xdr:rowOff>114706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24850" y="3381375"/>
          <a:ext cx="3534269" cy="290553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9</xdr:col>
      <xdr:colOff>781545</xdr:colOff>
      <xdr:row>18</xdr:row>
      <xdr:rowOff>133669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72675" y="1790700"/>
          <a:ext cx="3543795" cy="22863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438150</xdr:colOff>
      <xdr:row>28</xdr:row>
      <xdr:rowOff>19050</xdr:rowOff>
    </xdr:from>
    <xdr:to>
      <xdr:col>20</xdr:col>
      <xdr:colOff>123825</xdr:colOff>
      <xdr:row>45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820150" y="4886325"/>
          <a:ext cx="7991475" cy="27336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19050</xdr:colOff>
      <xdr:row>27</xdr:row>
      <xdr:rowOff>28575</xdr:rowOff>
    </xdr:from>
    <xdr:to>
      <xdr:col>8</xdr:col>
      <xdr:colOff>39273</xdr:colOff>
      <xdr:row>49</xdr:row>
      <xdr:rowOff>57651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4733925"/>
          <a:ext cx="8402223" cy="35914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17</xdr:row>
      <xdr:rowOff>47625</xdr:rowOff>
    </xdr:from>
    <xdr:to>
      <xdr:col>7</xdr:col>
      <xdr:colOff>1029683</xdr:colOff>
      <xdr:row>32</xdr:row>
      <xdr:rowOff>76543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609725"/>
          <a:ext cx="7039958" cy="2457793"/>
        </a:xfrm>
        <a:prstGeom prst="rect">
          <a:avLst/>
        </a:prstGeom>
      </xdr:spPr>
    </xdr:pic>
    <xdr:clientData/>
  </xdr:twoCellAnchor>
  <xdr:twoCellAnchor editAs="oneCell">
    <xdr:from>
      <xdr:col>3</xdr:col>
      <xdr:colOff>333375</xdr:colOff>
      <xdr:row>14</xdr:row>
      <xdr:rowOff>57150</xdr:rowOff>
    </xdr:from>
    <xdr:to>
      <xdr:col>15</xdr:col>
      <xdr:colOff>515804</xdr:colOff>
      <xdr:row>15</xdr:row>
      <xdr:rowOff>152436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38475" y="2600325"/>
          <a:ext cx="10412279" cy="2572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1104900</xdr:colOff>
      <xdr:row>8</xdr:row>
      <xdr:rowOff>142875</xdr:rowOff>
    </xdr:from>
    <xdr:to>
      <xdr:col>20</xdr:col>
      <xdr:colOff>105758</xdr:colOff>
      <xdr:row>24</xdr:row>
      <xdr:rowOff>9868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48750" y="1562100"/>
          <a:ext cx="7039958" cy="2457793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8</xdr:row>
      <xdr:rowOff>114300</xdr:rowOff>
    </xdr:from>
    <xdr:to>
      <xdr:col>7</xdr:col>
      <xdr:colOff>715398</xdr:colOff>
      <xdr:row>48</xdr:row>
      <xdr:rowOff>38994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1533525"/>
          <a:ext cx="7325748" cy="640169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14</xdr:col>
      <xdr:colOff>153765</xdr:colOff>
      <xdr:row>53</xdr:row>
      <xdr:rowOff>85760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05100" y="8543925"/>
          <a:ext cx="9774015" cy="247685"/>
        </a:xfrm>
        <a:prstGeom prst="rect">
          <a:avLst/>
        </a:prstGeom>
      </xdr:spPr>
    </xdr:pic>
    <xdr:clientData/>
  </xdr:twoCellAnchor>
  <xdr:twoCellAnchor editAs="oneCell">
    <xdr:from>
      <xdr:col>3</xdr:col>
      <xdr:colOff>333375</xdr:colOff>
      <xdr:row>26</xdr:row>
      <xdr:rowOff>28575</xdr:rowOff>
    </xdr:from>
    <xdr:to>
      <xdr:col>17</xdr:col>
      <xdr:colOff>125395</xdr:colOff>
      <xdr:row>27</xdr:row>
      <xdr:rowOff>114335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38475" y="4362450"/>
          <a:ext cx="11241070" cy="2476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6</xdr:row>
      <xdr:rowOff>133350</xdr:rowOff>
    </xdr:from>
    <xdr:to>
      <xdr:col>6</xdr:col>
      <xdr:colOff>172199</xdr:colOff>
      <xdr:row>22</xdr:row>
      <xdr:rowOff>95606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1390650"/>
          <a:ext cx="5363324" cy="255305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19</xdr:col>
      <xdr:colOff>201383</xdr:colOff>
      <xdr:row>23</xdr:row>
      <xdr:rowOff>114339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48350" y="3686175"/>
          <a:ext cx="9726383" cy="2762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otels/Siva%20Golden%20Bay/Invoices%20DEC%2024/New%20Till%2028.12/Anex-DEC%20till%202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ea-Credit2\AppData\Local\Microsoft\Windows\INetCache\Content.Outlook\R4F19B9Y\biblio%20Globu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ea-Credit2\AppData\Local\Microsoft\Windows\INetCache\Content.Outlook\R4F19B9Y\biblio%20-DE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Hotels/Siva%20Golden%20Bay/Invoices%20DEC%2024/Biblio%20-Dec/Copy%20of%20biblio%20-DEC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24"/>
      <sheetName val="ROOM TYPE"/>
      <sheetName val="system"/>
      <sheetName val="Dec 24 (2)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 2024"/>
      <sheetName val="rate code"/>
      <sheetName val="tax 19.03"/>
      <sheetName val="mar 2024"/>
      <sheetName val="tax 24.03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24"/>
      <sheetName val="ROOM TYPE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24"/>
      <sheetName val="ROOM TYPE"/>
      <sheetName val="system"/>
    </sheetNames>
    <sheetDataSet>
      <sheetData sheetId="0" refreshError="1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70"/>
  <sheetViews>
    <sheetView tabSelected="1" topLeftCell="B1" workbookViewId="0">
      <selection activeCell="B11" sqref="B11"/>
    </sheetView>
  </sheetViews>
  <sheetFormatPr defaultRowHeight="13.2" x14ac:dyDescent="0.25"/>
  <cols>
    <col min="1" max="1" width="20.6640625" customWidth="1"/>
    <col min="2" max="2" width="24.33203125" bestFit="1" customWidth="1"/>
    <col min="3" max="3" width="20.6640625" customWidth="1"/>
    <col min="4" max="4" width="18.44140625" bestFit="1" customWidth="1"/>
    <col min="5" max="6" width="20.6640625" customWidth="1"/>
    <col min="7" max="7" width="24" bestFit="1" customWidth="1"/>
    <col min="8" max="10" width="20.6640625" customWidth="1"/>
  </cols>
  <sheetData>
    <row r="1" spans="2:11" ht="18.600000000000001" thickTop="1" thickBot="1" x14ac:dyDescent="0.35">
      <c r="B1" s="3" t="s">
        <v>9</v>
      </c>
      <c r="C1" s="3" t="s">
        <v>10</v>
      </c>
      <c r="D1" s="2" t="s">
        <v>8</v>
      </c>
      <c r="E1" s="1" t="s">
        <v>1</v>
      </c>
      <c r="F1" s="1" t="s">
        <v>2</v>
      </c>
      <c r="G1" s="1" t="s">
        <v>3</v>
      </c>
      <c r="H1" s="3" t="s">
        <v>0</v>
      </c>
      <c r="I1" s="3" t="s">
        <v>7</v>
      </c>
      <c r="J1" s="1" t="s">
        <v>4</v>
      </c>
      <c r="K1" s="34" t="s">
        <v>19</v>
      </c>
    </row>
    <row r="2" spans="2:11" ht="16.8" thickTop="1" thickBot="1" x14ac:dyDescent="0.35">
      <c r="B2" s="27">
        <v>116345116996</v>
      </c>
      <c r="C2" s="32">
        <v>15515</v>
      </c>
      <c r="D2" s="28">
        <v>45677</v>
      </c>
      <c r="E2" s="25">
        <v>45678</v>
      </c>
      <c r="F2" s="25">
        <v>45680</v>
      </c>
      <c r="G2" s="25" t="s">
        <v>20</v>
      </c>
      <c r="H2" s="29">
        <f t="shared" ref="H2" si="0">+F2-E2</f>
        <v>2</v>
      </c>
      <c r="I2" s="30">
        <v>45</v>
      </c>
      <c r="J2" s="31">
        <f t="shared" ref="J2" si="1">+I2*H2</f>
        <v>90</v>
      </c>
      <c r="K2" s="35">
        <v>1</v>
      </c>
    </row>
    <row r="3" spans="2:11" ht="16.8" thickTop="1" thickBot="1" x14ac:dyDescent="0.35">
      <c r="B3" s="27">
        <v>116345116996</v>
      </c>
      <c r="C3" s="32">
        <v>15515</v>
      </c>
      <c r="D3" s="28">
        <v>45677</v>
      </c>
      <c r="E3" s="25" t="s">
        <v>21</v>
      </c>
      <c r="F3" s="25">
        <v>45680</v>
      </c>
      <c r="G3" s="25" t="s">
        <v>17</v>
      </c>
      <c r="H3" s="29" t="e">
        <f t="shared" ref="H3" si="2">+F3-E3</f>
        <v>#VALUE!</v>
      </c>
      <c r="I3" s="30">
        <v>45</v>
      </c>
      <c r="J3" s="31" t="e">
        <f t="shared" ref="J3" si="3">+I3*H3</f>
        <v>#VALUE!</v>
      </c>
      <c r="K3" s="35">
        <v>1</v>
      </c>
    </row>
    <row r="4" spans="2:11" ht="16.8" thickTop="1" thickBot="1" x14ac:dyDescent="0.35">
      <c r="B4" s="27">
        <v>116345116996</v>
      </c>
      <c r="C4" s="32">
        <v>15515</v>
      </c>
      <c r="D4" s="28">
        <v>45677</v>
      </c>
      <c r="E4" s="25" t="s">
        <v>21</v>
      </c>
      <c r="F4" s="25">
        <v>45680</v>
      </c>
      <c r="G4" s="25" t="s">
        <v>20</v>
      </c>
      <c r="H4" s="29" t="e">
        <f t="shared" ref="H4" si="4">+F4-E4</f>
        <v>#VALUE!</v>
      </c>
      <c r="I4" s="30">
        <v>45</v>
      </c>
      <c r="J4" s="31" t="e">
        <f t="shared" ref="J4" si="5">+I4*H4</f>
        <v>#VALUE!</v>
      </c>
      <c r="K4" s="35">
        <v>1</v>
      </c>
    </row>
    <row r="5" spans="2:11" ht="16.2" thickTop="1" x14ac:dyDescent="0.3">
      <c r="B5" s="27">
        <v>116345116996</v>
      </c>
      <c r="C5" s="32">
        <v>15515</v>
      </c>
      <c r="D5" s="28">
        <v>45677</v>
      </c>
      <c r="E5" s="25" t="s">
        <v>21</v>
      </c>
      <c r="F5" s="25">
        <v>45680</v>
      </c>
      <c r="G5" s="25"/>
      <c r="H5" s="29" t="e">
        <f t="shared" ref="H5" si="6">+F5-E5</f>
        <v>#VALUE!</v>
      </c>
      <c r="I5" s="30">
        <v>45</v>
      </c>
      <c r="J5" s="31" t="e">
        <f t="shared" ref="J5" si="7">+I5*H5</f>
        <v>#VALUE!</v>
      </c>
      <c r="K5" s="35">
        <v>1</v>
      </c>
    </row>
    <row r="9" spans="2:11" ht="13.8" thickBot="1" x14ac:dyDescent="0.3"/>
    <row r="10" spans="2:11" s="36" customFormat="1" ht="16.8" thickTop="1" thickBot="1" x14ac:dyDescent="0.35">
      <c r="B10" s="37"/>
      <c r="C10" s="38"/>
      <c r="D10" s="39"/>
      <c r="E10" s="40"/>
      <c r="F10" s="40"/>
      <c r="G10" s="40"/>
      <c r="H10" s="41"/>
      <c r="I10" s="42"/>
      <c r="J10" s="43"/>
    </row>
    <row r="11" spans="2:11" s="36" customFormat="1" ht="16.8" thickTop="1" thickBot="1" x14ac:dyDescent="0.35">
      <c r="B11" s="37"/>
      <c r="C11" s="38"/>
      <c r="D11" s="39"/>
      <c r="E11" s="40"/>
      <c r="F11" s="40"/>
      <c r="G11" s="40"/>
      <c r="H11" s="41"/>
      <c r="I11" s="42"/>
      <c r="J11" s="43"/>
    </row>
    <row r="12" spans="2:11" s="36" customFormat="1" ht="16.8" thickTop="1" thickBot="1" x14ac:dyDescent="0.35">
      <c r="B12" s="37"/>
      <c r="C12" s="38"/>
      <c r="D12" s="39"/>
      <c r="E12" s="40"/>
      <c r="F12" s="40"/>
      <c r="G12" s="40"/>
      <c r="H12" s="41"/>
      <c r="I12" s="42"/>
      <c r="J12" s="43"/>
    </row>
    <row r="13" spans="2:11" s="36" customFormat="1" ht="16.8" thickTop="1" thickBot="1" x14ac:dyDescent="0.35">
      <c r="B13" s="37"/>
      <c r="C13" s="38"/>
      <c r="D13" s="39"/>
      <c r="E13" s="40"/>
      <c r="F13" s="40"/>
      <c r="G13" s="40"/>
      <c r="H13" s="41"/>
      <c r="I13" s="42"/>
      <c r="J13" s="43"/>
    </row>
    <row r="14" spans="2:11" s="36" customFormat="1" ht="16.8" thickTop="1" thickBot="1" x14ac:dyDescent="0.35">
      <c r="B14" s="37"/>
      <c r="C14" s="38"/>
      <c r="D14" s="39"/>
      <c r="E14" s="40"/>
      <c r="F14" s="40"/>
      <c r="G14" s="40"/>
      <c r="H14" s="41"/>
      <c r="I14" s="42"/>
      <c r="J14" s="43"/>
    </row>
    <row r="15" spans="2:11" s="36" customFormat="1" ht="16.8" thickTop="1" thickBot="1" x14ac:dyDescent="0.35">
      <c r="B15" s="37"/>
      <c r="C15" s="38"/>
      <c r="D15" s="39"/>
      <c r="E15" s="40"/>
      <c r="F15" s="40"/>
      <c r="G15" s="40"/>
      <c r="H15" s="41"/>
      <c r="I15" s="42"/>
      <c r="J15" s="43"/>
    </row>
    <row r="16" spans="2:11" s="36" customFormat="1" ht="16.8" thickTop="1" thickBot="1" x14ac:dyDescent="0.35">
      <c r="B16" s="37"/>
      <c r="C16" s="38"/>
      <c r="D16" s="39"/>
      <c r="E16" s="40"/>
      <c r="F16" s="40"/>
      <c r="G16" s="40"/>
      <c r="H16" s="41"/>
      <c r="I16" s="42"/>
      <c r="J16" s="43"/>
    </row>
    <row r="17" spans="2:11" s="36" customFormat="1" ht="16.8" thickTop="1" thickBot="1" x14ac:dyDescent="0.35">
      <c r="B17" s="37"/>
      <c r="C17" s="38"/>
      <c r="D17" s="39"/>
      <c r="E17" s="40"/>
      <c r="F17" s="40"/>
      <c r="G17" s="40"/>
      <c r="H17" s="41"/>
      <c r="I17" s="42"/>
      <c r="J17" s="43"/>
    </row>
    <row r="18" spans="2:11" s="36" customFormat="1" ht="16.8" thickTop="1" thickBot="1" x14ac:dyDescent="0.35">
      <c r="B18" s="37"/>
      <c r="C18" s="38"/>
      <c r="D18" s="39"/>
      <c r="E18" s="40"/>
      <c r="F18" s="40"/>
      <c r="G18" s="40"/>
      <c r="H18" s="41"/>
      <c r="I18" s="42"/>
      <c r="J18" s="43"/>
    </row>
    <row r="19" spans="2:11" s="36" customFormat="1" ht="16.8" thickTop="1" thickBot="1" x14ac:dyDescent="0.35">
      <c r="B19" s="37"/>
      <c r="C19" s="38"/>
      <c r="D19" s="39"/>
      <c r="E19" s="40"/>
      <c r="F19" s="40"/>
      <c r="G19" s="40"/>
      <c r="H19" s="41"/>
      <c r="I19" s="42"/>
      <c r="J19" s="43"/>
    </row>
    <row r="20" spans="2:11" s="36" customFormat="1" ht="16.8" thickTop="1" thickBot="1" x14ac:dyDescent="0.35">
      <c r="B20" s="37"/>
      <c r="C20" s="38"/>
      <c r="D20" s="39"/>
      <c r="E20" s="40"/>
      <c r="F20" s="40"/>
      <c r="G20" s="40"/>
      <c r="H20" s="41"/>
      <c r="I20" s="42"/>
      <c r="J20" s="43"/>
    </row>
    <row r="21" spans="2:11" ht="16.8" thickTop="1" thickBot="1" x14ac:dyDescent="0.35">
      <c r="B21" s="27"/>
      <c r="C21" s="32"/>
      <c r="D21" s="28"/>
      <c r="E21" s="25"/>
      <c r="F21" s="25"/>
      <c r="G21" s="25"/>
      <c r="H21" s="29"/>
      <c r="I21" s="30"/>
      <c r="J21" s="31"/>
      <c r="K21" s="20"/>
    </row>
    <row r="22" spans="2:11" ht="16.8" thickTop="1" thickBot="1" x14ac:dyDescent="0.35">
      <c r="B22" s="27"/>
      <c r="C22" s="32"/>
      <c r="D22" s="28"/>
      <c r="E22" s="25"/>
      <c r="F22" s="25"/>
      <c r="G22" s="25"/>
      <c r="H22" s="29"/>
      <c r="I22" s="30"/>
      <c r="J22" s="31"/>
      <c r="K22" s="20"/>
    </row>
    <row r="23" spans="2:11" ht="16.8" thickTop="1" thickBot="1" x14ac:dyDescent="0.35">
      <c r="B23" s="27"/>
      <c r="C23" s="32"/>
      <c r="D23" s="28"/>
      <c r="E23" s="25"/>
      <c r="F23" s="25"/>
      <c r="G23" s="25"/>
      <c r="H23" s="29"/>
      <c r="I23" s="30"/>
      <c r="J23" s="31"/>
      <c r="K23" s="20"/>
    </row>
    <row r="24" spans="2:11" ht="16.8" thickTop="1" thickBot="1" x14ac:dyDescent="0.35">
      <c r="B24" s="27"/>
      <c r="C24" s="32"/>
      <c r="D24" s="28"/>
      <c r="E24" s="25"/>
      <c r="F24" s="25"/>
      <c r="G24" s="25"/>
      <c r="H24" s="29"/>
      <c r="I24" s="30"/>
      <c r="J24" s="31"/>
      <c r="K24" s="20"/>
    </row>
    <row r="25" spans="2:11" ht="16.8" thickTop="1" thickBot="1" x14ac:dyDescent="0.35">
      <c r="B25" s="27"/>
      <c r="C25" s="32"/>
      <c r="D25" s="28"/>
      <c r="E25" s="25"/>
      <c r="F25" s="25"/>
      <c r="G25" s="25"/>
      <c r="H25" s="29"/>
      <c r="I25" s="30"/>
      <c r="J25" s="31"/>
      <c r="K25" s="20"/>
    </row>
    <row r="26" spans="2:11" ht="16.8" thickTop="1" thickBot="1" x14ac:dyDescent="0.35">
      <c r="B26" s="27"/>
      <c r="C26" s="32"/>
      <c r="D26" s="28"/>
      <c r="E26" s="25"/>
      <c r="F26" s="25"/>
      <c r="G26" s="25"/>
      <c r="H26" s="29"/>
      <c r="I26" s="30"/>
      <c r="J26" s="31"/>
      <c r="K26" s="20"/>
    </row>
    <row r="27" spans="2:11" ht="16.8" thickTop="1" thickBot="1" x14ac:dyDescent="0.35">
      <c r="B27" s="27"/>
      <c r="C27" s="32"/>
      <c r="D27" s="28"/>
      <c r="E27" s="25"/>
      <c r="F27" s="25"/>
      <c r="G27" s="25"/>
      <c r="H27" s="29"/>
      <c r="I27" s="30"/>
      <c r="J27" s="31"/>
      <c r="K27" s="20"/>
    </row>
    <row r="28" spans="2:11" ht="16.8" thickTop="1" thickBot="1" x14ac:dyDescent="0.35">
      <c r="B28" s="27"/>
      <c r="C28" s="32"/>
      <c r="D28" s="28"/>
      <c r="E28" s="25"/>
      <c r="F28" s="25"/>
      <c r="G28" s="25"/>
      <c r="H28" s="29"/>
      <c r="I28" s="30"/>
      <c r="J28" s="31"/>
      <c r="K28" s="20"/>
    </row>
    <row r="29" spans="2:11" ht="16.8" thickTop="1" thickBot="1" x14ac:dyDescent="0.35">
      <c r="B29" s="27"/>
      <c r="C29" s="32"/>
      <c r="D29" s="28"/>
      <c r="E29" s="25"/>
      <c r="F29" s="25"/>
      <c r="G29" s="25"/>
      <c r="H29" s="29"/>
      <c r="I29" s="30"/>
      <c r="J29" s="31"/>
      <c r="K29" s="20"/>
    </row>
    <row r="30" spans="2:11" ht="16.8" thickTop="1" thickBot="1" x14ac:dyDescent="0.35">
      <c r="B30" s="27"/>
      <c r="C30" s="32"/>
      <c r="D30" s="28"/>
      <c r="E30" s="25"/>
      <c r="F30" s="25"/>
      <c r="G30" s="25"/>
      <c r="H30" s="29"/>
      <c r="I30" s="30"/>
      <c r="J30" s="31"/>
      <c r="K30" s="20"/>
    </row>
    <row r="31" spans="2:11" ht="16.8" thickTop="1" thickBot="1" x14ac:dyDescent="0.35">
      <c r="B31" s="27"/>
      <c r="C31" s="32"/>
      <c r="D31" s="28"/>
      <c r="E31" s="25"/>
      <c r="F31" s="25"/>
      <c r="G31" s="25"/>
      <c r="H31" s="29"/>
      <c r="I31" s="30"/>
      <c r="J31" s="31"/>
      <c r="K31" s="20"/>
    </row>
    <row r="32" spans="2:11" ht="16.8" thickTop="1" thickBot="1" x14ac:dyDescent="0.35">
      <c r="B32" s="27"/>
      <c r="C32" s="32"/>
      <c r="D32" s="28"/>
      <c r="E32" s="25"/>
      <c r="F32" s="25"/>
      <c r="G32" s="25"/>
      <c r="H32" s="29"/>
      <c r="I32" s="30"/>
      <c r="J32" s="31"/>
      <c r="K32" s="20"/>
    </row>
    <row r="33" spans="2:11" ht="16.8" thickTop="1" thickBot="1" x14ac:dyDescent="0.35">
      <c r="B33" s="27"/>
      <c r="C33" s="32"/>
      <c r="D33" s="28"/>
      <c r="E33" s="25"/>
      <c r="F33" s="25"/>
      <c r="G33" s="25"/>
      <c r="H33" s="29"/>
      <c r="I33" s="30"/>
      <c r="J33" s="31"/>
      <c r="K33" s="35"/>
    </row>
    <row r="34" spans="2:11" ht="16.8" thickTop="1" thickBot="1" x14ac:dyDescent="0.35">
      <c r="B34" s="27"/>
      <c r="C34" s="32"/>
      <c r="D34" s="28"/>
      <c r="E34" s="25"/>
      <c r="F34" s="25"/>
      <c r="G34" s="25"/>
      <c r="H34" s="29"/>
      <c r="I34" s="30"/>
      <c r="J34" s="31"/>
      <c r="K34" s="35"/>
    </row>
    <row r="35" spans="2:11" ht="16.8" thickTop="1" thickBot="1" x14ac:dyDescent="0.35">
      <c r="B35" s="27"/>
      <c r="C35" s="32"/>
      <c r="D35" s="28"/>
      <c r="E35" s="25"/>
      <c r="F35" s="25"/>
      <c r="G35" s="25"/>
      <c r="H35" s="29"/>
      <c r="I35" s="30"/>
      <c r="J35" s="31"/>
      <c r="K35" s="20"/>
    </row>
    <row r="36" spans="2:11" ht="16.8" thickTop="1" thickBot="1" x14ac:dyDescent="0.35">
      <c r="B36" s="27"/>
      <c r="C36" s="32"/>
      <c r="D36" s="28"/>
      <c r="E36" s="25"/>
      <c r="F36" s="25"/>
      <c r="G36" s="25"/>
      <c r="H36" s="29"/>
      <c r="I36" s="30"/>
      <c r="J36" s="31"/>
      <c r="K36" s="20"/>
    </row>
    <row r="37" spans="2:11" ht="16.8" thickTop="1" thickBot="1" x14ac:dyDescent="0.35">
      <c r="B37" s="27"/>
      <c r="C37" s="32"/>
      <c r="D37" s="28"/>
      <c r="E37" s="25"/>
      <c r="F37" s="25"/>
      <c r="G37" s="25"/>
      <c r="H37" s="29"/>
      <c r="I37" s="30"/>
      <c r="J37" s="31"/>
      <c r="K37" s="20"/>
    </row>
    <row r="38" spans="2:11" ht="16.8" thickTop="1" thickBot="1" x14ac:dyDescent="0.35">
      <c r="B38" s="27"/>
      <c r="C38" s="32"/>
      <c r="D38" s="28"/>
      <c r="E38" s="25"/>
      <c r="F38" s="25"/>
      <c r="G38" s="25"/>
      <c r="H38" s="29"/>
      <c r="I38" s="30"/>
      <c r="J38" s="31"/>
      <c r="K38" s="20"/>
    </row>
    <row r="39" spans="2:11" ht="16.8" thickTop="1" thickBot="1" x14ac:dyDescent="0.35">
      <c r="B39" s="27"/>
      <c r="C39" s="32"/>
      <c r="D39" s="28"/>
      <c r="E39" s="25"/>
      <c r="F39" s="25"/>
      <c r="G39" s="25"/>
      <c r="H39" s="29"/>
      <c r="I39" s="30"/>
      <c r="J39" s="31"/>
      <c r="K39" s="20"/>
    </row>
    <row r="40" spans="2:11" ht="16.8" thickTop="1" thickBot="1" x14ac:dyDescent="0.35">
      <c r="B40" s="27"/>
      <c r="C40" s="32"/>
      <c r="D40" s="28"/>
      <c r="E40" s="25"/>
      <c r="F40" s="25"/>
      <c r="G40" s="25"/>
      <c r="H40" s="29"/>
      <c r="I40" s="30"/>
      <c r="J40" s="31"/>
      <c r="K40" s="20"/>
    </row>
    <row r="41" spans="2:11" ht="16.8" thickTop="1" thickBot="1" x14ac:dyDescent="0.35">
      <c r="B41" s="27"/>
      <c r="C41" s="32"/>
      <c r="D41" s="28"/>
      <c r="E41" s="25"/>
      <c r="F41" s="25"/>
      <c r="G41" s="25"/>
      <c r="H41" s="29"/>
      <c r="I41" s="30"/>
      <c r="J41" s="31"/>
      <c r="K41" s="20"/>
    </row>
    <row r="42" spans="2:11" ht="16.8" thickTop="1" thickBot="1" x14ac:dyDescent="0.35">
      <c r="B42" s="27"/>
      <c r="C42" s="32"/>
      <c r="D42" s="28"/>
      <c r="E42" s="25"/>
      <c r="F42" s="25"/>
      <c r="G42" s="25"/>
      <c r="H42" s="29"/>
      <c r="I42" s="30"/>
      <c r="J42" s="31"/>
      <c r="K42" s="20"/>
    </row>
    <row r="43" spans="2:11" ht="16.8" thickTop="1" thickBot="1" x14ac:dyDescent="0.35">
      <c r="B43" s="27"/>
      <c r="C43" s="32"/>
      <c r="D43" s="28"/>
      <c r="E43" s="25"/>
      <c r="F43" s="25"/>
      <c r="G43" s="25"/>
      <c r="H43" s="29"/>
      <c r="I43" s="30"/>
      <c r="J43" s="31"/>
      <c r="K43" s="35"/>
    </row>
    <row r="44" spans="2:11" ht="16.8" thickTop="1" thickBot="1" x14ac:dyDescent="0.35">
      <c r="B44" s="27"/>
      <c r="C44" s="32"/>
      <c r="D44" s="28"/>
      <c r="E44" s="25"/>
      <c r="F44" s="25"/>
      <c r="G44" s="25"/>
      <c r="H44" s="29"/>
      <c r="I44" s="30"/>
      <c r="J44" s="31"/>
      <c r="K44" s="20"/>
    </row>
    <row r="45" spans="2:11" ht="16.8" thickTop="1" thickBot="1" x14ac:dyDescent="0.35">
      <c r="B45" s="27"/>
      <c r="C45" s="32"/>
      <c r="D45" s="28"/>
      <c r="E45" s="25"/>
      <c r="F45" s="25"/>
      <c r="G45" s="25"/>
      <c r="H45" s="29"/>
      <c r="I45" s="30"/>
      <c r="J45" s="31"/>
      <c r="K45" s="20"/>
    </row>
    <row r="46" spans="2:11" ht="16.8" thickTop="1" thickBot="1" x14ac:dyDescent="0.35">
      <c r="B46" s="27"/>
      <c r="C46" s="32"/>
      <c r="D46" s="28"/>
      <c r="E46" s="25"/>
      <c r="F46" s="25"/>
      <c r="G46" s="25"/>
      <c r="H46" s="29"/>
      <c r="I46" s="30"/>
      <c r="J46" s="31"/>
      <c r="K46" s="20"/>
    </row>
    <row r="47" spans="2:11" ht="16.8" thickTop="1" thickBot="1" x14ac:dyDescent="0.35">
      <c r="B47" s="27"/>
      <c r="C47" s="32"/>
      <c r="D47" s="28"/>
      <c r="E47" s="25"/>
      <c r="F47" s="25"/>
      <c r="G47" s="25"/>
      <c r="H47" s="29"/>
      <c r="I47" s="30"/>
      <c r="J47" s="31"/>
      <c r="K47" s="35"/>
    </row>
    <row r="48" spans="2:11" ht="16.8" thickTop="1" thickBot="1" x14ac:dyDescent="0.35">
      <c r="B48" s="27"/>
      <c r="C48" s="32"/>
      <c r="D48" s="28"/>
      <c r="E48" s="25"/>
      <c r="F48" s="25"/>
      <c r="G48" s="25"/>
      <c r="H48" s="29"/>
      <c r="I48" s="30"/>
      <c r="J48" s="31"/>
      <c r="K48" s="35"/>
    </row>
    <row r="49" spans="2:11" ht="16.8" thickTop="1" thickBot="1" x14ac:dyDescent="0.35">
      <c r="B49" s="27"/>
      <c r="C49" s="32"/>
      <c r="D49" s="28"/>
      <c r="E49" s="25"/>
      <c r="F49" s="25"/>
      <c r="G49" s="25"/>
      <c r="H49" s="29"/>
      <c r="I49" s="30"/>
      <c r="J49" s="31"/>
      <c r="K49" s="20"/>
    </row>
    <row r="50" spans="2:11" ht="16.8" thickTop="1" thickBot="1" x14ac:dyDescent="0.35">
      <c r="B50" s="27"/>
      <c r="C50" s="32"/>
      <c r="D50" s="28"/>
      <c r="E50" s="25"/>
      <c r="F50" s="25"/>
      <c r="G50" s="25"/>
      <c r="H50" s="29"/>
      <c r="I50" s="30"/>
      <c r="J50" s="31"/>
      <c r="K50" s="20"/>
    </row>
    <row r="51" spans="2:11" ht="16.8" thickTop="1" thickBot="1" x14ac:dyDescent="0.35">
      <c r="B51" s="27"/>
      <c r="C51" s="32"/>
      <c r="D51" s="28"/>
      <c r="E51" s="25"/>
      <c r="F51" s="25"/>
      <c r="G51" s="25"/>
      <c r="H51" s="29"/>
      <c r="I51" s="30"/>
      <c r="J51" s="31"/>
      <c r="K51" s="20"/>
    </row>
    <row r="52" spans="2:11" ht="16.8" thickTop="1" thickBot="1" x14ac:dyDescent="0.35">
      <c r="B52" s="27"/>
      <c r="C52" s="32"/>
      <c r="D52" s="28"/>
      <c r="E52" s="25"/>
      <c r="F52" s="25"/>
      <c r="G52" s="25"/>
      <c r="H52" s="29"/>
      <c r="I52" s="30"/>
      <c r="J52" s="31"/>
      <c r="K52" s="20"/>
    </row>
    <row r="53" spans="2:11" ht="16.8" thickTop="1" thickBot="1" x14ac:dyDescent="0.35">
      <c r="B53" s="27"/>
      <c r="C53" s="32"/>
      <c r="D53" s="28"/>
      <c r="E53" s="25"/>
      <c r="F53" s="25"/>
      <c r="G53" s="25"/>
      <c r="H53" s="29"/>
      <c r="I53" s="30"/>
      <c r="J53" s="31"/>
      <c r="K53" s="20"/>
    </row>
    <row r="54" spans="2:11" ht="16.8" thickTop="1" thickBot="1" x14ac:dyDescent="0.35">
      <c r="B54" s="27"/>
      <c r="C54" s="32"/>
      <c r="D54" s="28"/>
      <c r="E54" s="25"/>
      <c r="F54" s="25"/>
      <c r="G54" s="25"/>
      <c r="H54" s="29"/>
      <c r="I54" s="30"/>
      <c r="J54" s="31"/>
      <c r="K54" s="20"/>
    </row>
    <row r="55" spans="2:11" ht="16.8" thickTop="1" thickBot="1" x14ac:dyDescent="0.35">
      <c r="B55" s="27"/>
      <c r="C55" s="32"/>
      <c r="D55" s="28"/>
      <c r="E55" s="25"/>
      <c r="F55" s="25"/>
      <c r="G55" s="25"/>
      <c r="H55" s="29"/>
      <c r="I55" s="30"/>
      <c r="J55" s="31"/>
      <c r="K55" s="35"/>
    </row>
    <row r="56" spans="2:11" ht="16.8" thickTop="1" thickBot="1" x14ac:dyDescent="0.35">
      <c r="B56" s="27"/>
      <c r="C56" s="32"/>
      <c r="D56" s="28"/>
      <c r="E56" s="25"/>
      <c r="F56" s="25"/>
      <c r="G56" s="25"/>
      <c r="H56" s="29"/>
      <c r="I56" s="30"/>
      <c r="J56" s="31"/>
      <c r="K56" s="35"/>
    </row>
    <row r="57" spans="2:11" ht="16.8" thickTop="1" thickBot="1" x14ac:dyDescent="0.35">
      <c r="B57" s="27"/>
      <c r="C57" s="32"/>
      <c r="D57" s="28"/>
      <c r="E57" s="25"/>
      <c r="F57" s="25"/>
      <c r="G57" s="25"/>
      <c r="H57" s="29"/>
      <c r="I57" s="30"/>
      <c r="J57" s="31"/>
      <c r="K57" s="20"/>
    </row>
    <row r="58" spans="2:11" ht="16.8" thickTop="1" thickBot="1" x14ac:dyDescent="0.35">
      <c r="B58" s="27"/>
      <c r="C58" s="32"/>
      <c r="D58" s="28"/>
      <c r="E58" s="25"/>
      <c r="F58" s="25"/>
      <c r="G58" s="25"/>
      <c r="H58" s="29"/>
      <c r="I58" s="30"/>
      <c r="J58" s="31"/>
      <c r="K58" s="20"/>
    </row>
    <row r="59" spans="2:11" ht="16.8" thickTop="1" thickBot="1" x14ac:dyDescent="0.35">
      <c r="B59" s="27"/>
      <c r="C59" s="32"/>
      <c r="D59" s="28"/>
      <c r="E59" s="25"/>
      <c r="F59" s="25"/>
      <c r="G59" s="25"/>
      <c r="H59" s="29"/>
      <c r="I59" s="30"/>
      <c r="J59" s="31"/>
      <c r="K59" s="35"/>
    </row>
    <row r="60" spans="2:11" ht="16.8" thickTop="1" thickBot="1" x14ac:dyDescent="0.35">
      <c r="B60" s="27"/>
      <c r="C60" s="32"/>
      <c r="D60" s="28"/>
      <c r="E60" s="25"/>
      <c r="F60" s="25"/>
      <c r="G60" s="25"/>
      <c r="H60" s="29"/>
      <c r="I60" s="30"/>
      <c r="J60" s="31"/>
      <c r="K60" s="20"/>
    </row>
    <row r="61" spans="2:11" ht="16.8" thickTop="1" thickBot="1" x14ac:dyDescent="0.35">
      <c r="B61" s="27"/>
      <c r="C61" s="32"/>
      <c r="D61" s="28"/>
      <c r="E61" s="25"/>
      <c r="F61" s="25"/>
      <c r="G61" s="25"/>
      <c r="H61" s="29"/>
      <c r="I61" s="30"/>
      <c r="J61" s="31"/>
      <c r="K61" s="35"/>
    </row>
    <row r="62" spans="2:11" ht="16.8" thickTop="1" thickBot="1" x14ac:dyDescent="0.35">
      <c r="B62" s="27"/>
      <c r="C62" s="32"/>
      <c r="D62" s="28"/>
      <c r="E62" s="25"/>
      <c r="F62" s="25"/>
      <c r="G62" s="25"/>
      <c r="H62" s="29"/>
      <c r="I62" s="30"/>
      <c r="J62" s="31"/>
      <c r="K62" s="20"/>
    </row>
    <row r="63" spans="2:11" ht="16.8" thickTop="1" thickBot="1" x14ac:dyDescent="0.35">
      <c r="B63" s="27"/>
      <c r="C63" s="32"/>
      <c r="D63" s="28"/>
      <c r="E63" s="25"/>
      <c r="F63" s="25"/>
      <c r="G63" s="25"/>
      <c r="H63" s="29"/>
      <c r="I63" s="30"/>
      <c r="J63" s="31"/>
      <c r="K63" s="20"/>
    </row>
    <row r="64" spans="2:11" ht="16.8" thickTop="1" thickBot="1" x14ac:dyDescent="0.35">
      <c r="B64" s="27"/>
      <c r="C64" s="32"/>
      <c r="D64" s="28"/>
      <c r="E64" s="25"/>
      <c r="F64" s="25"/>
      <c r="G64" s="25"/>
      <c r="H64" s="29"/>
      <c r="I64" s="30"/>
      <c r="J64" s="31"/>
      <c r="K64" s="20"/>
    </row>
    <row r="65" spans="2:11" ht="16.8" thickTop="1" thickBot="1" x14ac:dyDescent="0.35">
      <c r="B65" s="27"/>
      <c r="C65" s="32"/>
      <c r="D65" s="28"/>
      <c r="E65" s="25"/>
      <c r="F65" s="25"/>
      <c r="G65" s="25"/>
      <c r="H65" s="29"/>
      <c r="I65" s="30"/>
      <c r="J65" s="31"/>
      <c r="K65" s="20"/>
    </row>
    <row r="66" spans="2:11" ht="16.8" thickTop="1" thickBot="1" x14ac:dyDescent="0.35">
      <c r="B66" s="27"/>
      <c r="C66" s="32"/>
      <c r="D66" s="28"/>
      <c r="E66" s="25"/>
      <c r="F66" s="25"/>
      <c r="G66" s="21"/>
      <c r="H66" s="29"/>
      <c r="I66" s="30"/>
      <c r="J66" s="31"/>
      <c r="K66" s="35"/>
    </row>
    <row r="67" spans="2:11" ht="16.8" thickTop="1" thickBot="1" x14ac:dyDescent="0.35">
      <c r="B67" s="27"/>
      <c r="C67" s="32"/>
      <c r="D67" s="28"/>
      <c r="E67" s="25"/>
      <c r="F67" s="25"/>
      <c r="G67" s="25"/>
      <c r="H67" s="29"/>
      <c r="I67" s="30"/>
      <c r="J67" s="31"/>
      <c r="K67" s="20"/>
    </row>
    <row r="68" spans="2:11" ht="16.8" thickTop="1" thickBot="1" x14ac:dyDescent="0.35">
      <c r="B68" s="27"/>
      <c r="C68" s="32"/>
      <c r="D68" s="28"/>
      <c r="E68" s="25"/>
      <c r="F68" s="25"/>
      <c r="G68" s="25"/>
      <c r="H68" s="29"/>
      <c r="I68" s="30"/>
      <c r="J68" s="31"/>
      <c r="K68" s="20"/>
    </row>
    <row r="69" spans="2:11" ht="16.8" thickTop="1" thickBot="1" x14ac:dyDescent="0.35">
      <c r="B69" s="27"/>
      <c r="C69" s="32"/>
      <c r="D69" s="28"/>
      <c r="E69" s="25"/>
      <c r="F69" s="25"/>
      <c r="G69" s="25"/>
      <c r="H69" s="29"/>
      <c r="I69" s="30"/>
      <c r="J69" s="31"/>
      <c r="K69" s="20"/>
    </row>
    <row r="70" spans="2:11" ht="16.8" thickTop="1" thickBot="1" x14ac:dyDescent="0.35">
      <c r="B70" s="27"/>
      <c r="C70" s="32"/>
      <c r="D70" s="28"/>
      <c r="E70" s="25"/>
      <c r="F70" s="25"/>
      <c r="G70" s="25"/>
      <c r="H70" s="29"/>
      <c r="I70" s="30"/>
      <c r="J70" s="31"/>
      <c r="K70" s="20"/>
    </row>
    <row r="71" spans="2:11" ht="16.8" thickTop="1" thickBot="1" x14ac:dyDescent="0.35">
      <c r="B71" s="27"/>
      <c r="C71" s="32"/>
      <c r="D71" s="28"/>
      <c r="E71" s="25"/>
      <c r="F71" s="25"/>
      <c r="G71" s="25"/>
      <c r="H71" s="29"/>
      <c r="I71" s="30"/>
      <c r="J71" s="31"/>
      <c r="K71" s="20"/>
    </row>
    <row r="72" spans="2:11" ht="16.8" thickTop="1" thickBot="1" x14ac:dyDescent="0.35">
      <c r="B72" s="27"/>
      <c r="C72" s="32"/>
      <c r="D72" s="28"/>
      <c r="E72" s="25"/>
      <c r="F72" s="25"/>
      <c r="G72" s="25"/>
      <c r="H72" s="29"/>
      <c r="I72" s="30"/>
      <c r="J72" s="31"/>
      <c r="K72" s="20"/>
    </row>
    <row r="73" spans="2:11" ht="16.8" thickTop="1" thickBot="1" x14ac:dyDescent="0.35">
      <c r="B73" s="27"/>
      <c r="C73" s="32"/>
      <c r="D73" s="28"/>
      <c r="E73" s="25"/>
      <c r="F73" s="25"/>
      <c r="G73" s="25"/>
      <c r="H73" s="29"/>
      <c r="I73" s="30"/>
      <c r="J73" s="31"/>
      <c r="K73" s="20"/>
    </row>
    <row r="74" spans="2:11" s="52" customFormat="1" ht="16.8" thickTop="1" thickBot="1" x14ac:dyDescent="0.35">
      <c r="B74" s="44"/>
      <c r="C74" s="45"/>
      <c r="D74" s="46"/>
      <c r="E74" s="47"/>
      <c r="F74" s="47"/>
      <c r="G74" s="47"/>
      <c r="H74" s="48"/>
      <c r="I74" s="49"/>
      <c r="J74" s="50"/>
      <c r="K74" s="51"/>
    </row>
    <row r="75" spans="2:11" s="52" customFormat="1" ht="16.8" thickTop="1" thickBot="1" x14ac:dyDescent="0.35">
      <c r="B75" s="44"/>
      <c r="C75" s="45"/>
      <c r="D75" s="46"/>
      <c r="E75" s="47"/>
      <c r="F75" s="47"/>
      <c r="G75" s="47"/>
      <c r="H75" s="48"/>
      <c r="I75" s="49"/>
      <c r="J75" s="50"/>
    </row>
    <row r="76" spans="2:11" ht="16.8" thickTop="1" thickBot="1" x14ac:dyDescent="0.35">
      <c r="B76" s="27"/>
      <c r="C76" s="32"/>
      <c r="D76" s="28"/>
      <c r="E76" s="25"/>
      <c r="F76" s="25"/>
      <c r="G76" s="25"/>
      <c r="H76" s="29"/>
      <c r="I76" s="30"/>
      <c r="J76" s="31"/>
      <c r="K76" s="20"/>
    </row>
    <row r="77" spans="2:11" ht="16.8" thickTop="1" thickBot="1" x14ac:dyDescent="0.35">
      <c r="B77" s="27"/>
      <c r="C77" s="32"/>
      <c r="D77" s="28"/>
      <c r="E77" s="25"/>
      <c r="F77" s="25"/>
      <c r="G77" s="25"/>
      <c r="H77" s="29"/>
      <c r="I77" s="30"/>
      <c r="J77" s="31"/>
      <c r="K77" s="20"/>
    </row>
    <row r="78" spans="2:11" ht="16.8" thickTop="1" thickBot="1" x14ac:dyDescent="0.35">
      <c r="B78" s="27"/>
      <c r="C78" s="32"/>
      <c r="D78" s="28"/>
      <c r="E78" s="25"/>
      <c r="F78" s="25"/>
      <c r="G78" s="25"/>
      <c r="H78" s="29"/>
      <c r="I78" s="30"/>
      <c r="J78" s="31"/>
      <c r="K78" s="20"/>
    </row>
    <row r="79" spans="2:11" ht="16.8" thickTop="1" thickBot="1" x14ac:dyDescent="0.35">
      <c r="B79" s="27"/>
      <c r="C79" s="32"/>
      <c r="D79" s="28"/>
      <c r="E79" s="25"/>
      <c r="F79" s="25"/>
      <c r="G79" s="25"/>
      <c r="H79" s="29"/>
      <c r="I79" s="30"/>
      <c r="J79" s="31"/>
      <c r="K79" s="35"/>
    </row>
    <row r="80" spans="2:11" ht="16.8" thickTop="1" thickBot="1" x14ac:dyDescent="0.35">
      <c r="B80" s="27"/>
      <c r="C80" s="32"/>
      <c r="D80" s="28"/>
      <c r="E80" s="25"/>
      <c r="F80" s="25"/>
      <c r="G80" s="25"/>
      <c r="H80" s="29"/>
      <c r="I80" s="30"/>
      <c r="J80" s="31"/>
      <c r="K80" s="20"/>
    </row>
    <row r="81" spans="2:11" ht="16.8" thickTop="1" thickBot="1" x14ac:dyDescent="0.35">
      <c r="B81" s="27"/>
      <c r="C81" s="32"/>
      <c r="D81" s="28"/>
      <c r="E81" s="25"/>
      <c r="F81" s="25"/>
      <c r="G81" s="25"/>
      <c r="H81" s="29"/>
      <c r="I81" s="30"/>
      <c r="J81" s="31"/>
      <c r="K81" s="35"/>
    </row>
    <row r="82" spans="2:11" ht="16.8" thickTop="1" thickBot="1" x14ac:dyDescent="0.35">
      <c r="B82" s="27"/>
      <c r="C82" s="32"/>
      <c r="D82" s="28"/>
      <c r="E82" s="25"/>
      <c r="F82" s="25"/>
      <c r="G82" s="25"/>
      <c r="H82" s="29"/>
      <c r="I82" s="30"/>
      <c r="J82" s="31"/>
      <c r="K82" s="20"/>
    </row>
    <row r="83" spans="2:11" ht="16.8" thickTop="1" thickBot="1" x14ac:dyDescent="0.35">
      <c r="B83" s="27"/>
      <c r="C83" s="32"/>
      <c r="D83" s="28"/>
      <c r="E83" s="25"/>
      <c r="F83" s="25"/>
      <c r="G83" s="25"/>
      <c r="H83" s="29"/>
      <c r="I83" s="30"/>
      <c r="J83" s="31"/>
      <c r="K83" s="20"/>
    </row>
    <row r="84" spans="2:11" ht="16.8" thickTop="1" thickBot="1" x14ac:dyDescent="0.35">
      <c r="B84" s="27"/>
      <c r="C84" s="32"/>
      <c r="D84" s="28"/>
      <c r="E84" s="25"/>
      <c r="F84" s="25"/>
      <c r="G84" s="25"/>
      <c r="H84" s="29"/>
      <c r="I84" s="30"/>
      <c r="J84" s="31"/>
      <c r="K84" s="20"/>
    </row>
    <row r="85" spans="2:11" ht="16.8" thickTop="1" thickBot="1" x14ac:dyDescent="0.35">
      <c r="B85" s="27"/>
      <c r="C85" s="32"/>
      <c r="D85" s="28"/>
      <c r="E85" s="25"/>
      <c r="F85" s="25"/>
      <c r="G85" s="25"/>
      <c r="H85" s="29"/>
      <c r="I85" s="30"/>
      <c r="J85" s="31"/>
      <c r="K85" s="20"/>
    </row>
    <row r="86" spans="2:11" ht="16.8" thickTop="1" thickBot="1" x14ac:dyDescent="0.35">
      <c r="B86" s="27"/>
      <c r="C86" s="32"/>
      <c r="D86" s="28"/>
      <c r="E86" s="25"/>
      <c r="F86" s="25"/>
      <c r="G86" s="25"/>
      <c r="H86" s="29"/>
      <c r="I86" s="30"/>
      <c r="J86" s="31"/>
      <c r="K86" s="20"/>
    </row>
    <row r="87" spans="2:11" ht="16.8" thickTop="1" thickBot="1" x14ac:dyDescent="0.35">
      <c r="B87" s="27"/>
      <c r="C87" s="32"/>
      <c r="D87" s="28"/>
      <c r="E87" s="25"/>
      <c r="F87" s="25"/>
      <c r="G87" s="25"/>
      <c r="H87" s="29"/>
      <c r="I87" s="30"/>
      <c r="J87" s="31"/>
      <c r="K87" s="20"/>
    </row>
    <row r="88" spans="2:11" ht="16.8" thickTop="1" thickBot="1" x14ac:dyDescent="0.35">
      <c r="B88" s="27"/>
      <c r="C88" s="32"/>
      <c r="D88" s="28"/>
      <c r="E88" s="25"/>
      <c r="F88" s="25"/>
      <c r="G88" s="25"/>
      <c r="H88" s="29"/>
      <c r="I88" s="30"/>
      <c r="J88" s="31"/>
      <c r="K88" s="20"/>
    </row>
    <row r="89" spans="2:11" ht="16.8" thickTop="1" thickBot="1" x14ac:dyDescent="0.35">
      <c r="B89" s="27"/>
      <c r="C89" s="32"/>
      <c r="D89" s="28"/>
      <c r="E89" s="25"/>
      <c r="F89" s="25"/>
      <c r="G89" s="25"/>
      <c r="H89" s="29"/>
      <c r="I89" s="30"/>
      <c r="J89" s="31"/>
      <c r="K89" s="20"/>
    </row>
    <row r="90" spans="2:11" ht="16.8" thickTop="1" thickBot="1" x14ac:dyDescent="0.35">
      <c r="B90" s="27"/>
      <c r="C90" s="32"/>
      <c r="D90" s="28"/>
      <c r="E90" s="25"/>
      <c r="F90" s="25"/>
      <c r="G90" s="25"/>
      <c r="H90" s="29"/>
      <c r="I90" s="30"/>
      <c r="J90" s="31"/>
      <c r="K90" s="20"/>
    </row>
    <row r="91" spans="2:11" ht="16.8" thickTop="1" thickBot="1" x14ac:dyDescent="0.35">
      <c r="B91" s="27"/>
      <c r="C91" s="32"/>
      <c r="D91" s="28"/>
      <c r="E91" s="25"/>
      <c r="F91" s="25"/>
      <c r="G91" s="25"/>
      <c r="H91" s="29"/>
      <c r="I91" s="30"/>
      <c r="J91" s="31"/>
      <c r="K91" s="20"/>
    </row>
    <row r="92" spans="2:11" ht="16.8" thickTop="1" thickBot="1" x14ac:dyDescent="0.35">
      <c r="B92" s="27"/>
      <c r="C92" s="32"/>
      <c r="D92" s="28"/>
      <c r="E92" s="25"/>
      <c r="F92" s="25"/>
      <c r="G92" s="25"/>
      <c r="H92" s="29"/>
      <c r="I92" s="30"/>
      <c r="J92" s="31"/>
      <c r="K92" s="20"/>
    </row>
    <row r="93" spans="2:11" ht="16.8" thickTop="1" thickBot="1" x14ac:dyDescent="0.35">
      <c r="B93" s="27"/>
      <c r="C93" s="32"/>
      <c r="D93" s="28"/>
      <c r="E93" s="25"/>
      <c r="F93" s="25"/>
      <c r="G93" s="25"/>
      <c r="H93" s="29"/>
      <c r="I93" s="30"/>
      <c r="J93" s="31"/>
      <c r="K93" s="35"/>
    </row>
    <row r="94" spans="2:11" ht="16.8" thickTop="1" thickBot="1" x14ac:dyDescent="0.35">
      <c r="B94" s="27"/>
      <c r="C94" s="32"/>
      <c r="D94" s="28"/>
      <c r="E94" s="25"/>
      <c r="F94" s="25"/>
      <c r="G94" s="25"/>
      <c r="H94" s="29"/>
      <c r="I94" s="30"/>
      <c r="J94" s="31"/>
      <c r="K94" s="20"/>
    </row>
    <row r="95" spans="2:11" ht="16.8" thickTop="1" thickBot="1" x14ac:dyDescent="0.35">
      <c r="B95" s="27"/>
      <c r="C95" s="32"/>
      <c r="D95" s="28"/>
      <c r="E95" s="25"/>
      <c r="F95" s="25"/>
      <c r="G95" s="25"/>
      <c r="H95" s="29"/>
      <c r="I95" s="30"/>
      <c r="J95" s="31"/>
      <c r="K95" s="20"/>
    </row>
    <row r="96" spans="2:11" ht="16.8" thickTop="1" thickBot="1" x14ac:dyDescent="0.35">
      <c r="B96" s="27"/>
      <c r="C96" s="32"/>
      <c r="D96" s="28"/>
      <c r="E96" s="25"/>
      <c r="F96" s="25"/>
      <c r="G96" s="25"/>
      <c r="H96" s="29"/>
      <c r="I96" s="30"/>
      <c r="J96" s="31"/>
      <c r="K96" s="20"/>
    </row>
    <row r="97" spans="2:11" ht="16.8" thickTop="1" thickBot="1" x14ac:dyDescent="0.35">
      <c r="B97" s="27"/>
      <c r="C97" s="32"/>
      <c r="D97" s="28"/>
      <c r="E97" s="25"/>
      <c r="F97" s="25"/>
      <c r="G97" s="25"/>
      <c r="H97" s="29"/>
      <c r="I97" s="30"/>
      <c r="J97" s="31"/>
      <c r="K97" s="35"/>
    </row>
    <row r="98" spans="2:11" ht="16.8" thickTop="1" thickBot="1" x14ac:dyDescent="0.35">
      <c r="B98" s="27"/>
      <c r="C98" s="32"/>
      <c r="D98" s="28"/>
      <c r="E98" s="25"/>
      <c r="F98" s="25"/>
      <c r="G98" s="25"/>
      <c r="H98" s="29"/>
      <c r="I98" s="30"/>
      <c r="J98" s="31"/>
      <c r="K98" s="20"/>
    </row>
    <row r="99" spans="2:11" ht="16.8" thickTop="1" thickBot="1" x14ac:dyDescent="0.35">
      <c r="B99" s="27"/>
      <c r="C99" s="32"/>
      <c r="D99" s="28"/>
      <c r="E99" s="25"/>
      <c r="F99" s="25"/>
      <c r="G99" s="25"/>
      <c r="H99" s="29"/>
      <c r="I99" s="30"/>
      <c r="J99" s="31"/>
      <c r="K99" s="20"/>
    </row>
    <row r="100" spans="2:11" ht="16.8" thickTop="1" thickBot="1" x14ac:dyDescent="0.35">
      <c r="B100" s="27"/>
      <c r="C100" s="32"/>
      <c r="D100" s="28"/>
      <c r="E100" s="25"/>
      <c r="F100" s="25"/>
      <c r="G100" s="25"/>
      <c r="H100" s="29"/>
      <c r="I100" s="30"/>
      <c r="J100" s="31"/>
      <c r="K100" s="20"/>
    </row>
    <row r="101" spans="2:11" ht="16.8" thickTop="1" thickBot="1" x14ac:dyDescent="0.35">
      <c r="B101" s="27"/>
      <c r="C101" s="32"/>
      <c r="D101" s="28"/>
      <c r="E101" s="25"/>
      <c r="F101" s="25"/>
      <c r="G101" s="25"/>
      <c r="H101" s="29"/>
      <c r="I101" s="30"/>
      <c r="J101" s="31"/>
      <c r="K101" s="20"/>
    </row>
    <row r="102" spans="2:11" ht="16.8" thickTop="1" thickBot="1" x14ac:dyDescent="0.35">
      <c r="B102" s="27"/>
      <c r="C102" s="32"/>
      <c r="D102" s="28"/>
      <c r="E102" s="25"/>
      <c r="F102" s="25"/>
      <c r="G102" s="25"/>
      <c r="H102" s="29"/>
      <c r="I102" s="30"/>
      <c r="J102" s="31"/>
      <c r="K102" s="20"/>
    </row>
    <row r="103" spans="2:11" ht="16.8" thickTop="1" thickBot="1" x14ac:dyDescent="0.35">
      <c r="B103" s="27"/>
      <c r="C103" s="32"/>
      <c r="D103" s="28"/>
      <c r="E103" s="25"/>
      <c r="F103" s="25"/>
      <c r="G103" s="25"/>
      <c r="H103" s="29"/>
      <c r="I103" s="30"/>
      <c r="J103" s="31"/>
      <c r="K103" s="20"/>
    </row>
    <row r="104" spans="2:11" ht="16.8" thickTop="1" thickBot="1" x14ac:dyDescent="0.35">
      <c r="B104" s="27"/>
      <c r="C104" s="32"/>
      <c r="D104" s="28"/>
      <c r="E104" s="25"/>
      <c r="F104" s="25"/>
      <c r="G104" s="25"/>
      <c r="H104" s="29"/>
      <c r="I104" s="30"/>
      <c r="J104" s="31"/>
      <c r="K104" s="20"/>
    </row>
    <row r="105" spans="2:11" ht="16.8" thickTop="1" thickBot="1" x14ac:dyDescent="0.35">
      <c r="B105" s="27"/>
      <c r="C105" s="32"/>
      <c r="D105" s="28"/>
      <c r="E105" s="25"/>
      <c r="F105" s="25"/>
      <c r="G105" s="25"/>
      <c r="H105" s="29"/>
      <c r="I105" s="30"/>
      <c r="J105" s="31"/>
      <c r="K105" s="20"/>
    </row>
    <row r="106" spans="2:11" ht="16.8" thickTop="1" thickBot="1" x14ac:dyDescent="0.35">
      <c r="B106" s="27"/>
      <c r="C106" s="32"/>
      <c r="D106" s="28"/>
      <c r="E106" s="25"/>
      <c r="F106" s="25"/>
      <c r="G106" s="25"/>
      <c r="H106" s="29"/>
      <c r="I106" s="30"/>
      <c r="J106" s="31"/>
      <c r="K106" s="20"/>
    </row>
    <row r="107" spans="2:11" ht="16.8" thickTop="1" thickBot="1" x14ac:dyDescent="0.35">
      <c r="B107" s="27"/>
      <c r="C107" s="32"/>
      <c r="D107" s="28"/>
      <c r="E107" s="25"/>
      <c r="F107" s="25"/>
      <c r="G107" s="25"/>
      <c r="H107" s="29"/>
      <c r="I107" s="30"/>
      <c r="J107" s="31"/>
      <c r="K107" s="20"/>
    </row>
    <row r="108" spans="2:11" ht="16.8" thickTop="1" thickBot="1" x14ac:dyDescent="0.35">
      <c r="B108" s="27"/>
      <c r="C108" s="32"/>
      <c r="D108" s="28"/>
      <c r="E108" s="25"/>
      <c r="F108" s="25"/>
      <c r="G108" s="25"/>
      <c r="H108" s="29"/>
      <c r="I108" s="30"/>
      <c r="J108" s="31"/>
      <c r="K108" s="20"/>
    </row>
    <row r="109" spans="2:11" ht="16.8" thickTop="1" thickBot="1" x14ac:dyDescent="0.35">
      <c r="B109" s="27"/>
      <c r="C109" s="32"/>
      <c r="D109" s="28"/>
      <c r="E109" s="25"/>
      <c r="F109" s="25"/>
      <c r="G109" s="25"/>
      <c r="H109" s="29"/>
      <c r="I109" s="30"/>
      <c r="J109" s="31"/>
      <c r="K109" s="20"/>
    </row>
    <row r="110" spans="2:11" ht="16.8" thickTop="1" thickBot="1" x14ac:dyDescent="0.35">
      <c r="B110" s="27"/>
      <c r="C110" s="32"/>
      <c r="D110" s="28"/>
      <c r="E110" s="25"/>
      <c r="F110" s="25"/>
      <c r="G110" s="25"/>
      <c r="H110" s="29"/>
      <c r="I110" s="30"/>
      <c r="J110" s="31"/>
      <c r="K110" s="35"/>
    </row>
    <row r="111" spans="2:11" ht="16.8" thickTop="1" thickBot="1" x14ac:dyDescent="0.35">
      <c r="B111" s="27"/>
      <c r="C111" s="32"/>
      <c r="D111" s="28"/>
      <c r="E111" s="25"/>
      <c r="F111" s="25"/>
      <c r="G111" s="25"/>
      <c r="H111" s="29"/>
      <c r="I111" s="30"/>
      <c r="J111" s="31"/>
      <c r="K111" s="20"/>
    </row>
    <row r="112" spans="2:11" ht="16.8" thickTop="1" thickBot="1" x14ac:dyDescent="0.35">
      <c r="B112" s="27"/>
      <c r="C112" s="32"/>
      <c r="D112" s="28"/>
      <c r="E112" s="25"/>
      <c r="F112" s="25"/>
      <c r="G112" s="25"/>
      <c r="H112" s="29"/>
      <c r="I112" s="30"/>
      <c r="J112" s="31"/>
      <c r="K112" s="20"/>
    </row>
    <row r="113" spans="2:11" ht="16.8" thickTop="1" thickBot="1" x14ac:dyDescent="0.35">
      <c r="B113" s="27"/>
      <c r="C113" s="32"/>
      <c r="D113" s="28"/>
      <c r="E113" s="25"/>
      <c r="F113" s="25"/>
      <c r="G113" s="25"/>
      <c r="H113" s="29"/>
      <c r="I113" s="30"/>
      <c r="J113" s="31"/>
      <c r="K113" s="20"/>
    </row>
    <row r="114" spans="2:11" ht="16.8" thickTop="1" thickBot="1" x14ac:dyDescent="0.35">
      <c r="B114" s="27"/>
      <c r="C114" s="32"/>
      <c r="D114" s="28"/>
      <c r="E114" s="25"/>
      <c r="F114" s="25"/>
      <c r="G114" s="25"/>
      <c r="H114" s="29"/>
      <c r="I114" s="30"/>
      <c r="J114" s="31"/>
      <c r="K114" s="20"/>
    </row>
    <row r="115" spans="2:11" ht="16.8" thickTop="1" thickBot="1" x14ac:dyDescent="0.35">
      <c r="B115" s="27"/>
      <c r="C115" s="32"/>
      <c r="D115" s="28"/>
      <c r="E115" s="25"/>
      <c r="F115" s="25"/>
      <c r="G115" s="25"/>
      <c r="H115" s="29"/>
      <c r="I115" s="30"/>
      <c r="J115" s="31"/>
      <c r="K115" s="20"/>
    </row>
    <row r="116" spans="2:11" ht="16.8" thickTop="1" thickBot="1" x14ac:dyDescent="0.35">
      <c r="B116" s="27"/>
      <c r="C116" s="32"/>
      <c r="D116" s="28"/>
      <c r="E116" s="25"/>
      <c r="F116" s="25"/>
      <c r="G116" s="25"/>
      <c r="H116" s="29"/>
      <c r="I116" s="30"/>
      <c r="J116" s="31"/>
      <c r="K116" s="20"/>
    </row>
    <row r="117" spans="2:11" ht="16.8" thickTop="1" thickBot="1" x14ac:dyDescent="0.35">
      <c r="B117" s="27"/>
      <c r="C117" s="32"/>
      <c r="D117" s="28"/>
      <c r="E117" s="25"/>
      <c r="F117" s="25"/>
      <c r="G117" s="25"/>
      <c r="H117" s="29"/>
      <c r="I117" s="30"/>
      <c r="J117" s="31"/>
      <c r="K117" s="20"/>
    </row>
    <row r="118" spans="2:11" ht="16.8" thickTop="1" thickBot="1" x14ac:dyDescent="0.35">
      <c r="B118" s="27"/>
      <c r="C118" s="32"/>
      <c r="D118" s="28"/>
      <c r="E118" s="25"/>
      <c r="F118" s="25"/>
      <c r="G118" s="25"/>
      <c r="H118" s="29"/>
      <c r="I118" s="30"/>
      <c r="J118" s="31"/>
      <c r="K118" s="20"/>
    </row>
    <row r="119" spans="2:11" ht="16.8" thickTop="1" thickBot="1" x14ac:dyDescent="0.35">
      <c r="B119" s="27"/>
      <c r="C119" s="32"/>
      <c r="D119" s="28"/>
      <c r="E119" s="25"/>
      <c r="F119" s="25"/>
      <c r="G119" s="25"/>
      <c r="H119" s="29"/>
      <c r="I119" s="30"/>
      <c r="J119" s="31"/>
      <c r="K119" s="20"/>
    </row>
    <row r="120" spans="2:11" ht="16.8" thickTop="1" thickBot="1" x14ac:dyDescent="0.35">
      <c r="B120" s="27"/>
      <c r="C120" s="32"/>
      <c r="D120" s="28"/>
      <c r="E120" s="25"/>
      <c r="F120" s="25"/>
      <c r="G120" s="25"/>
      <c r="H120" s="29"/>
      <c r="I120" s="30"/>
      <c r="J120" s="31"/>
      <c r="K120" s="20"/>
    </row>
    <row r="121" spans="2:11" ht="16.8" thickTop="1" thickBot="1" x14ac:dyDescent="0.35">
      <c r="B121" s="27"/>
      <c r="C121" s="32"/>
      <c r="D121" s="28"/>
      <c r="E121" s="25"/>
      <c r="F121" s="25"/>
      <c r="G121" s="25"/>
      <c r="H121" s="29"/>
      <c r="I121" s="30"/>
      <c r="J121" s="31"/>
      <c r="K121" s="20"/>
    </row>
    <row r="122" spans="2:11" ht="16.8" thickTop="1" thickBot="1" x14ac:dyDescent="0.35">
      <c r="B122" s="27"/>
      <c r="C122" s="32"/>
      <c r="D122" s="28"/>
      <c r="E122" s="25"/>
      <c r="F122" s="25"/>
      <c r="G122" s="25"/>
      <c r="H122" s="29"/>
      <c r="I122" s="30"/>
      <c r="J122" s="31"/>
      <c r="K122" s="20"/>
    </row>
    <row r="123" spans="2:11" ht="16.8" thickTop="1" thickBot="1" x14ac:dyDescent="0.35">
      <c r="B123" s="27"/>
      <c r="C123" s="32"/>
      <c r="D123" s="28"/>
      <c r="E123" s="25"/>
      <c r="F123" s="25"/>
      <c r="G123" s="25"/>
      <c r="H123" s="29"/>
      <c r="I123" s="30"/>
      <c r="J123" s="31"/>
      <c r="K123" s="20"/>
    </row>
    <row r="124" spans="2:11" ht="16.8" thickTop="1" thickBot="1" x14ac:dyDescent="0.35">
      <c r="B124" s="27"/>
      <c r="C124" s="32"/>
      <c r="D124" s="28"/>
      <c r="E124" s="25"/>
      <c r="F124" s="25"/>
      <c r="G124" s="25"/>
      <c r="H124" s="29"/>
      <c r="I124" s="30"/>
      <c r="J124" s="31"/>
      <c r="K124" s="20"/>
    </row>
    <row r="125" spans="2:11" ht="16.8" thickTop="1" thickBot="1" x14ac:dyDescent="0.35">
      <c r="B125" s="27"/>
      <c r="C125" s="32"/>
      <c r="D125" s="28"/>
      <c r="E125" s="25"/>
      <c r="F125" s="25"/>
      <c r="G125" s="25"/>
      <c r="H125" s="29"/>
      <c r="I125" s="30"/>
      <c r="J125" s="31"/>
      <c r="K125" s="35"/>
    </row>
    <row r="126" spans="2:11" ht="16.8" thickTop="1" thickBot="1" x14ac:dyDescent="0.35">
      <c r="B126" s="27"/>
      <c r="C126" s="32"/>
      <c r="D126" s="28"/>
      <c r="E126" s="25"/>
      <c r="F126" s="25"/>
      <c r="G126" s="25"/>
      <c r="H126" s="29"/>
      <c r="I126" s="30"/>
      <c r="J126" s="31"/>
      <c r="K126" s="20"/>
    </row>
    <row r="127" spans="2:11" ht="16.8" thickTop="1" thickBot="1" x14ac:dyDescent="0.35">
      <c r="B127" s="27"/>
      <c r="C127" s="32"/>
      <c r="D127" s="28"/>
      <c r="E127" s="25"/>
      <c r="F127" s="25"/>
      <c r="G127" s="25"/>
      <c r="H127" s="29"/>
      <c r="I127" s="30"/>
      <c r="J127" s="31"/>
      <c r="K127" s="20"/>
    </row>
    <row r="128" spans="2:11" ht="16.8" thickTop="1" thickBot="1" x14ac:dyDescent="0.35">
      <c r="B128" s="27"/>
      <c r="C128" s="32"/>
      <c r="D128" s="28"/>
      <c r="E128" s="25"/>
      <c r="F128" s="25"/>
      <c r="G128" s="25"/>
      <c r="H128" s="29"/>
      <c r="I128" s="30"/>
      <c r="J128" s="31"/>
      <c r="K128" s="20"/>
    </row>
    <row r="129" spans="2:11" ht="16.8" thickTop="1" thickBot="1" x14ac:dyDescent="0.35">
      <c r="B129" s="27"/>
      <c r="C129" s="32"/>
      <c r="D129" s="28"/>
      <c r="E129" s="25"/>
      <c r="F129" s="25"/>
      <c r="G129" s="25"/>
      <c r="H129" s="29"/>
      <c r="I129" s="30"/>
      <c r="J129" s="31"/>
      <c r="K129" s="20"/>
    </row>
    <row r="130" spans="2:11" ht="16.8" thickTop="1" thickBot="1" x14ac:dyDescent="0.35">
      <c r="B130" s="27"/>
      <c r="C130" s="32"/>
      <c r="D130" s="28"/>
      <c r="E130" s="25"/>
      <c r="F130" s="25"/>
      <c r="G130" s="25"/>
      <c r="H130" s="29"/>
      <c r="I130" s="30"/>
      <c r="J130" s="31"/>
      <c r="K130" s="20"/>
    </row>
    <row r="131" spans="2:11" ht="16.8" thickTop="1" thickBot="1" x14ac:dyDescent="0.35">
      <c r="B131" s="27"/>
      <c r="C131" s="32"/>
      <c r="D131" s="28"/>
      <c r="E131" s="25"/>
      <c r="F131" s="25"/>
      <c r="G131" s="25"/>
      <c r="H131" s="29"/>
      <c r="I131" s="30"/>
      <c r="J131" s="31"/>
      <c r="K131" s="35"/>
    </row>
    <row r="132" spans="2:11" ht="16.8" thickTop="1" thickBot="1" x14ac:dyDescent="0.35">
      <c r="B132" s="27"/>
      <c r="C132" s="32"/>
      <c r="D132" s="28"/>
      <c r="E132" s="25"/>
      <c r="F132" s="25"/>
      <c r="G132" s="25"/>
      <c r="H132" s="29"/>
      <c r="I132" s="30"/>
      <c r="J132" s="31"/>
      <c r="K132" s="20"/>
    </row>
    <row r="133" spans="2:11" ht="16.8" thickTop="1" thickBot="1" x14ac:dyDescent="0.35">
      <c r="B133" s="27"/>
      <c r="C133" s="32"/>
      <c r="D133" s="28"/>
      <c r="E133" s="25"/>
      <c r="F133" s="25"/>
      <c r="G133" s="25"/>
      <c r="H133" s="29"/>
      <c r="I133" s="30"/>
      <c r="J133" s="31"/>
      <c r="K133" s="20"/>
    </row>
    <row r="134" spans="2:11" ht="16.8" thickTop="1" thickBot="1" x14ac:dyDescent="0.35">
      <c r="B134" s="27"/>
      <c r="C134" s="32"/>
      <c r="D134" s="28"/>
      <c r="E134" s="25"/>
      <c r="F134" s="25"/>
      <c r="G134" s="25"/>
      <c r="H134" s="29"/>
      <c r="I134" s="30"/>
      <c r="J134" s="31"/>
      <c r="K134" s="20"/>
    </row>
    <row r="135" spans="2:11" ht="16.8" thickTop="1" thickBot="1" x14ac:dyDescent="0.35">
      <c r="B135" s="27"/>
      <c r="C135" s="32"/>
      <c r="D135" s="28"/>
      <c r="E135" s="25"/>
      <c r="F135" s="25"/>
      <c r="G135" s="25"/>
      <c r="H135" s="29"/>
      <c r="I135" s="30"/>
      <c r="J135" s="31"/>
      <c r="K135" s="20"/>
    </row>
    <row r="136" spans="2:11" ht="16.8" thickTop="1" thickBot="1" x14ac:dyDescent="0.35">
      <c r="B136" s="27"/>
      <c r="C136" s="32"/>
      <c r="D136" s="28"/>
      <c r="E136" s="25"/>
      <c r="F136" s="25"/>
      <c r="G136" s="25"/>
      <c r="H136" s="29"/>
      <c r="I136" s="30"/>
      <c r="J136" s="31"/>
      <c r="K136" s="20"/>
    </row>
    <row r="137" spans="2:11" ht="16.8" thickTop="1" thickBot="1" x14ac:dyDescent="0.35">
      <c r="B137" s="27"/>
      <c r="C137" s="32"/>
      <c r="D137" s="28"/>
      <c r="E137" s="25"/>
      <c r="F137" s="25"/>
      <c r="G137" s="25"/>
      <c r="H137" s="29"/>
      <c r="I137" s="30"/>
      <c r="J137" s="31"/>
      <c r="K137" s="20"/>
    </row>
    <row r="138" spans="2:11" ht="16.8" thickTop="1" thickBot="1" x14ac:dyDescent="0.35">
      <c r="B138" s="27"/>
      <c r="C138" s="32"/>
      <c r="D138" s="28"/>
      <c r="E138" s="25"/>
      <c r="F138" s="25"/>
      <c r="G138" s="25"/>
      <c r="H138" s="29"/>
      <c r="I138" s="30"/>
      <c r="J138" s="31"/>
      <c r="K138" s="35"/>
    </row>
    <row r="139" spans="2:11" ht="16.8" thickTop="1" thickBot="1" x14ac:dyDescent="0.35">
      <c r="B139" s="27"/>
      <c r="C139" s="32"/>
      <c r="D139" s="28"/>
      <c r="E139" s="25"/>
      <c r="F139" s="25"/>
      <c r="G139" s="25"/>
      <c r="H139" s="29"/>
      <c r="I139" s="30"/>
      <c r="J139" s="31"/>
      <c r="K139" s="20"/>
    </row>
    <row r="140" spans="2:11" ht="16.8" thickTop="1" thickBot="1" x14ac:dyDescent="0.35">
      <c r="B140" s="27"/>
      <c r="C140" s="32"/>
      <c r="D140" s="28"/>
      <c r="E140" s="25"/>
      <c r="F140" s="25"/>
      <c r="G140" s="25"/>
      <c r="H140" s="29"/>
      <c r="I140" s="30"/>
      <c r="J140" s="31"/>
      <c r="K140" s="35"/>
    </row>
    <row r="141" spans="2:11" ht="16.8" thickTop="1" thickBot="1" x14ac:dyDescent="0.35">
      <c r="B141" s="27"/>
      <c r="C141" s="32"/>
      <c r="D141" s="28"/>
      <c r="E141" s="25"/>
      <c r="F141" s="25"/>
      <c r="G141" s="25"/>
      <c r="H141" s="29"/>
      <c r="I141" s="30"/>
      <c r="J141" s="31"/>
      <c r="K141" s="20"/>
    </row>
    <row r="142" spans="2:11" ht="16.8" thickTop="1" thickBot="1" x14ac:dyDescent="0.35">
      <c r="B142" s="27"/>
      <c r="C142" s="32"/>
      <c r="D142" s="28"/>
      <c r="E142" s="25"/>
      <c r="F142" s="25"/>
      <c r="G142" s="25"/>
      <c r="H142" s="29"/>
      <c r="I142" s="30"/>
      <c r="J142" s="31"/>
      <c r="K142" s="20"/>
    </row>
    <row r="143" spans="2:11" ht="16.8" thickTop="1" thickBot="1" x14ac:dyDescent="0.35">
      <c r="B143" s="27"/>
      <c r="C143" s="32"/>
      <c r="D143" s="28"/>
      <c r="E143" s="25"/>
      <c r="F143" s="25"/>
      <c r="G143" s="25"/>
      <c r="H143" s="29"/>
      <c r="I143" s="30"/>
      <c r="J143" s="31"/>
      <c r="K143" s="20"/>
    </row>
    <row r="144" spans="2:11" ht="16.8" thickTop="1" thickBot="1" x14ac:dyDescent="0.35">
      <c r="B144" s="27"/>
      <c r="C144" s="32"/>
      <c r="D144" s="28"/>
      <c r="E144" s="25"/>
      <c r="F144" s="25"/>
      <c r="G144" s="25"/>
      <c r="H144" s="29"/>
      <c r="I144" s="30"/>
      <c r="J144" s="31"/>
      <c r="K144" s="20"/>
    </row>
    <row r="145" spans="2:11" ht="16.8" thickTop="1" thickBot="1" x14ac:dyDescent="0.35">
      <c r="B145" s="27"/>
      <c r="C145" s="32"/>
      <c r="D145" s="28"/>
      <c r="E145" s="25"/>
      <c r="F145" s="25"/>
      <c r="G145" s="25"/>
      <c r="H145" s="29"/>
      <c r="I145" s="30"/>
      <c r="J145" s="31"/>
      <c r="K145" s="20"/>
    </row>
    <row r="146" spans="2:11" ht="16.8" thickTop="1" thickBot="1" x14ac:dyDescent="0.35">
      <c r="B146" s="27"/>
      <c r="C146" s="32"/>
      <c r="D146" s="28"/>
      <c r="E146" s="25"/>
      <c r="F146" s="25"/>
      <c r="G146" s="25"/>
      <c r="H146" s="29"/>
      <c r="I146" s="30"/>
      <c r="J146" s="31"/>
      <c r="K146" s="20"/>
    </row>
    <row r="147" spans="2:11" ht="16.8" thickTop="1" thickBot="1" x14ac:dyDescent="0.35">
      <c r="B147" s="27"/>
      <c r="C147" s="32"/>
      <c r="D147" s="28"/>
      <c r="E147" s="25"/>
      <c r="F147" s="25"/>
      <c r="G147" s="25"/>
      <c r="H147" s="29"/>
      <c r="I147" s="30"/>
      <c r="J147" s="31"/>
      <c r="K147" s="20"/>
    </row>
    <row r="148" spans="2:11" ht="16.8" thickTop="1" thickBot="1" x14ac:dyDescent="0.35">
      <c r="B148" s="27"/>
      <c r="C148" s="32"/>
      <c r="D148" s="28"/>
      <c r="E148" s="25"/>
      <c r="F148" s="25"/>
      <c r="G148" s="25"/>
      <c r="H148" s="29"/>
      <c r="I148" s="30"/>
      <c r="J148" s="31"/>
      <c r="K148" s="35"/>
    </row>
    <row r="149" spans="2:11" ht="16.8" thickTop="1" thickBot="1" x14ac:dyDescent="0.35">
      <c r="B149" s="27"/>
      <c r="C149" s="32"/>
      <c r="D149" s="28"/>
      <c r="E149" s="25"/>
      <c r="F149" s="25"/>
      <c r="G149" s="25"/>
      <c r="H149" s="29"/>
      <c r="I149" s="30"/>
      <c r="J149" s="31"/>
      <c r="K149" s="20"/>
    </row>
    <row r="150" spans="2:11" ht="16.8" thickTop="1" thickBot="1" x14ac:dyDescent="0.35">
      <c r="B150" s="27"/>
      <c r="C150" s="32"/>
      <c r="D150" s="28"/>
      <c r="E150" s="25"/>
      <c r="F150" s="25"/>
      <c r="G150" s="25"/>
      <c r="H150" s="29"/>
      <c r="I150" s="30"/>
      <c r="J150" s="31"/>
      <c r="K150" s="35"/>
    </row>
    <row r="151" spans="2:11" ht="16.8" thickTop="1" thickBot="1" x14ac:dyDescent="0.35">
      <c r="B151" s="27"/>
      <c r="C151" s="32"/>
      <c r="D151" s="28"/>
      <c r="E151" s="25"/>
      <c r="F151" s="25"/>
      <c r="G151" s="25"/>
      <c r="H151" s="29"/>
      <c r="I151" s="30"/>
      <c r="J151" s="31"/>
      <c r="K151" s="20"/>
    </row>
    <row r="152" spans="2:11" ht="16.8" thickTop="1" thickBot="1" x14ac:dyDescent="0.35">
      <c r="B152" s="27"/>
      <c r="C152" s="32"/>
      <c r="D152" s="28"/>
      <c r="E152" s="25"/>
      <c r="F152" s="25"/>
      <c r="G152" s="25"/>
      <c r="H152" s="29"/>
      <c r="I152" s="30"/>
      <c r="J152" s="31"/>
      <c r="K152" s="20"/>
    </row>
    <row r="153" spans="2:11" ht="16.8" thickTop="1" thickBot="1" x14ac:dyDescent="0.35">
      <c r="B153" s="27"/>
      <c r="C153" s="32"/>
      <c r="D153" s="28"/>
      <c r="E153" s="25"/>
      <c r="F153" s="25"/>
      <c r="G153" s="25"/>
      <c r="H153" s="29"/>
      <c r="I153" s="30"/>
      <c r="J153" s="31"/>
      <c r="K153" s="20"/>
    </row>
    <row r="154" spans="2:11" ht="16.8" thickTop="1" thickBot="1" x14ac:dyDescent="0.35">
      <c r="B154" s="27"/>
      <c r="C154" s="32"/>
      <c r="D154" s="28"/>
      <c r="E154" s="25"/>
      <c r="F154" s="25"/>
      <c r="G154" s="25"/>
      <c r="H154" s="29"/>
      <c r="I154" s="30"/>
      <c r="J154" s="31"/>
      <c r="K154" s="20"/>
    </row>
    <row r="155" spans="2:11" ht="16.8" thickTop="1" thickBot="1" x14ac:dyDescent="0.35">
      <c r="B155" s="27"/>
      <c r="C155" s="32"/>
      <c r="D155" s="28"/>
      <c r="E155" s="25"/>
      <c r="F155" s="25"/>
      <c r="G155" s="25"/>
      <c r="H155" s="29"/>
      <c r="I155" s="30"/>
      <c r="J155" s="31"/>
      <c r="K155" s="20"/>
    </row>
    <row r="156" spans="2:11" ht="16.8" thickTop="1" thickBot="1" x14ac:dyDescent="0.35">
      <c r="B156" s="27"/>
      <c r="C156" s="32"/>
      <c r="D156" s="33"/>
      <c r="E156" s="25"/>
      <c r="F156" s="25"/>
      <c r="G156" s="25"/>
      <c r="H156" s="29"/>
      <c r="I156" s="30"/>
      <c r="J156" s="31"/>
      <c r="K156" s="20"/>
    </row>
    <row r="157" spans="2:11" ht="16.8" thickTop="1" thickBot="1" x14ac:dyDescent="0.35">
      <c r="B157" s="27"/>
      <c r="C157" s="32"/>
      <c r="D157" s="28"/>
      <c r="E157" s="25"/>
      <c r="F157" s="25"/>
      <c r="G157" s="25"/>
      <c r="H157" s="29"/>
      <c r="I157" s="30"/>
      <c r="J157" s="31"/>
      <c r="K157" s="20"/>
    </row>
    <row r="158" spans="2:11" ht="16.8" thickTop="1" thickBot="1" x14ac:dyDescent="0.35">
      <c r="B158" s="27"/>
      <c r="C158" s="32"/>
      <c r="D158" s="28"/>
      <c r="E158" s="25"/>
      <c r="F158" s="25"/>
      <c r="G158" s="25"/>
      <c r="H158" s="29"/>
      <c r="I158" s="30"/>
      <c r="J158" s="31"/>
      <c r="K158" s="20"/>
    </row>
    <row r="159" spans="2:11" ht="16.8" thickTop="1" thickBot="1" x14ac:dyDescent="0.35">
      <c r="B159" s="27"/>
      <c r="C159" s="32"/>
      <c r="D159" s="28"/>
      <c r="E159" s="25"/>
      <c r="F159" s="25"/>
      <c r="G159" s="25"/>
      <c r="H159" s="29"/>
      <c r="I159" s="30"/>
      <c r="J159" s="31"/>
      <c r="K159" s="35"/>
    </row>
    <row r="160" spans="2:11" ht="16.8" thickTop="1" thickBot="1" x14ac:dyDescent="0.35">
      <c r="B160" s="27"/>
      <c r="C160" s="32"/>
      <c r="D160" s="28"/>
      <c r="E160" s="25"/>
      <c r="F160" s="25"/>
      <c r="G160" s="25"/>
      <c r="H160" s="29"/>
      <c r="I160" s="30"/>
      <c r="J160" s="31"/>
      <c r="K160" s="20"/>
    </row>
    <row r="161" spans="2:11" ht="16.8" thickTop="1" thickBot="1" x14ac:dyDescent="0.35">
      <c r="B161" s="27"/>
      <c r="C161" s="32"/>
      <c r="D161" s="28"/>
      <c r="E161" s="25"/>
      <c r="F161" s="25"/>
      <c r="G161" s="25"/>
      <c r="H161" s="29"/>
      <c r="I161" s="30"/>
      <c r="J161" s="31"/>
      <c r="K161" s="20"/>
    </row>
    <row r="162" spans="2:11" ht="16.8" thickTop="1" thickBot="1" x14ac:dyDescent="0.35">
      <c r="B162" s="27"/>
      <c r="C162" s="32"/>
      <c r="D162" s="28"/>
      <c r="E162" s="25"/>
      <c r="F162" s="25"/>
      <c r="G162" s="25"/>
      <c r="H162" s="29"/>
      <c r="I162" s="30"/>
      <c r="J162" s="31"/>
      <c r="K162" s="20"/>
    </row>
    <row r="163" spans="2:11" ht="16.8" thickTop="1" thickBot="1" x14ac:dyDescent="0.35">
      <c r="B163" s="27"/>
      <c r="C163" s="32"/>
      <c r="D163" s="28"/>
      <c r="E163" s="25"/>
      <c r="F163" s="25"/>
      <c r="G163" s="25"/>
      <c r="H163" s="29"/>
      <c r="I163" s="30"/>
      <c r="J163" s="31"/>
      <c r="K163" s="20"/>
    </row>
    <row r="164" spans="2:11" ht="16.8" thickTop="1" thickBot="1" x14ac:dyDescent="0.35">
      <c r="B164" s="27"/>
      <c r="C164" s="32"/>
      <c r="D164" s="28"/>
      <c r="E164" s="25"/>
      <c r="F164" s="25"/>
      <c r="G164" s="25"/>
      <c r="H164" s="29"/>
      <c r="I164" s="30"/>
      <c r="J164" s="31"/>
      <c r="K164" s="35"/>
    </row>
    <row r="165" spans="2:11" ht="16.8" thickTop="1" thickBot="1" x14ac:dyDescent="0.35">
      <c r="B165" s="27"/>
      <c r="C165" s="32"/>
      <c r="D165" s="28"/>
      <c r="E165" s="25"/>
      <c r="F165" s="25"/>
      <c r="G165" s="25"/>
      <c r="H165" s="29"/>
      <c r="I165" s="30"/>
      <c r="J165" s="31"/>
      <c r="K165" s="20"/>
    </row>
    <row r="166" spans="2:11" ht="16.8" thickTop="1" thickBot="1" x14ac:dyDescent="0.35">
      <c r="B166" s="27"/>
      <c r="C166" s="32"/>
      <c r="D166" s="28"/>
      <c r="E166" s="25"/>
      <c r="F166" s="25"/>
      <c r="G166" s="25"/>
      <c r="H166" s="29"/>
      <c r="I166" s="30"/>
      <c r="J166" s="31"/>
      <c r="K166" s="20"/>
    </row>
    <row r="167" spans="2:11" ht="16.8" thickTop="1" thickBot="1" x14ac:dyDescent="0.35">
      <c r="B167" s="27"/>
      <c r="C167" s="32"/>
      <c r="D167" s="28"/>
      <c r="E167" s="25"/>
      <c r="F167" s="25"/>
      <c r="G167" s="25"/>
      <c r="H167" s="29"/>
      <c r="I167" s="30"/>
      <c r="J167" s="31"/>
      <c r="K167" s="35"/>
    </row>
    <row r="168" spans="2:11" ht="16.8" thickTop="1" thickBot="1" x14ac:dyDescent="0.35">
      <c r="B168" s="27"/>
      <c r="C168" s="32"/>
      <c r="D168" s="28"/>
      <c r="E168" s="25"/>
      <c r="F168" s="25"/>
      <c r="G168" s="25"/>
      <c r="H168" s="29"/>
      <c r="I168" s="30"/>
      <c r="J168" s="31"/>
      <c r="K168" s="20"/>
    </row>
    <row r="169" spans="2:11" ht="16.8" thickTop="1" thickBot="1" x14ac:dyDescent="0.35">
      <c r="B169" s="27"/>
      <c r="C169" s="32"/>
      <c r="D169" s="28"/>
      <c r="E169" s="25"/>
      <c r="F169" s="25"/>
      <c r="G169" s="25"/>
      <c r="H169" s="29"/>
      <c r="I169" s="30"/>
      <c r="J169" s="31"/>
      <c r="K169" s="20"/>
    </row>
    <row r="170" spans="2:11" ht="16.2" thickTop="1" x14ac:dyDescent="0.3">
      <c r="B170" s="27"/>
      <c r="C170" s="32"/>
      <c r="D170" s="28"/>
      <c r="E170" s="25"/>
      <c r="F170" s="25"/>
      <c r="G170" s="25"/>
      <c r="H170" s="29"/>
      <c r="I170" s="30"/>
      <c r="J170" s="31"/>
      <c r="K170" s="20"/>
    </row>
  </sheetData>
  <autoFilter ref="B1:J170" xr:uid="{00000000-0009-0000-0000-000000000000}"/>
  <conditionalFormatting sqref="D106:D109">
    <cfRule type="cellIs" dxfId="1" priority="1" operator="greaterThan">
      <formula>"10-01-2025"</formula>
    </cfRule>
    <cfRule type="timePeriod" dxfId="0" priority="2" timePeriod="lastWeek">
      <formula>AND(TODAY()-ROUNDDOWN(D106,0)&gt;=(WEEKDAY(TODAY())),TODAY()-ROUNDDOWN(D106,0)&lt;(WEEKDAY(TODAY())+7))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'D:\Hotels\Siva Golden Bay\Invoices DEC 24\New Till 28.12\[Anex-DEC till 28.xlsx]ROOM TYPE'!#REF!</xm:f>
          </x14:formula1>
          <xm:sqref>G10:G19 G1:G5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7"/>
  <sheetViews>
    <sheetView topLeftCell="A7" workbookViewId="0">
      <selection activeCell="D63" sqref="D63"/>
    </sheetView>
  </sheetViews>
  <sheetFormatPr defaultRowHeight="13.2" x14ac:dyDescent="0.25"/>
  <cols>
    <col min="1" max="8" width="15.6640625" customWidth="1"/>
    <col min="9" max="9" width="24" bestFit="1" customWidth="1"/>
  </cols>
  <sheetData>
    <row r="1" spans="1:10" ht="16.8" thickTop="1" thickBot="1" x14ac:dyDescent="0.35">
      <c r="A1" s="11" t="s">
        <v>5</v>
      </c>
      <c r="B1" s="12" t="s">
        <v>6</v>
      </c>
      <c r="C1" s="25" t="s">
        <v>17</v>
      </c>
      <c r="D1" s="25" t="s">
        <v>15</v>
      </c>
      <c r="E1" s="25" t="s">
        <v>16</v>
      </c>
      <c r="F1" s="13" t="s">
        <v>11</v>
      </c>
      <c r="G1" s="25" t="s">
        <v>18</v>
      </c>
      <c r="H1" s="25" t="s">
        <v>14</v>
      </c>
      <c r="I1" s="21" t="s">
        <v>13</v>
      </c>
      <c r="J1" s="21" t="s">
        <v>12</v>
      </c>
    </row>
    <row r="2" spans="1:10" ht="14.4" thickTop="1" x14ac:dyDescent="0.25">
      <c r="A2" s="14">
        <v>45413</v>
      </c>
      <c r="B2" s="14">
        <v>45422</v>
      </c>
      <c r="C2" s="15">
        <v>69</v>
      </c>
      <c r="D2" s="15">
        <v>86</v>
      </c>
      <c r="E2" s="15">
        <v>120</v>
      </c>
      <c r="F2" s="15">
        <v>76</v>
      </c>
      <c r="G2" s="15">
        <v>100</v>
      </c>
      <c r="H2" s="16">
        <v>141</v>
      </c>
      <c r="I2">
        <f>+(D2/2)*2.5</f>
        <v>107.5</v>
      </c>
      <c r="J2">
        <f>+(D2/2)*1.5</f>
        <v>64.5</v>
      </c>
    </row>
    <row r="3" spans="1:10" ht="13.8" x14ac:dyDescent="0.25">
      <c r="A3" s="17">
        <v>45423</v>
      </c>
      <c r="B3" s="17">
        <v>45473</v>
      </c>
      <c r="C3" s="18">
        <v>62</v>
      </c>
      <c r="D3" s="18">
        <v>78</v>
      </c>
      <c r="E3" s="18">
        <v>108</v>
      </c>
      <c r="F3" s="18">
        <v>69</v>
      </c>
      <c r="G3" s="18">
        <v>92</v>
      </c>
      <c r="H3" s="19">
        <v>129</v>
      </c>
      <c r="I3">
        <f t="shared" ref="I3:I7" si="0">+(D3/2)*2.5</f>
        <v>97.5</v>
      </c>
      <c r="J3">
        <f t="shared" ref="J3:J7" si="1">+(D3/2)*1.5</f>
        <v>58.5</v>
      </c>
    </row>
    <row r="4" spans="1:10" ht="13.8" x14ac:dyDescent="0.25">
      <c r="A4" s="17">
        <v>45474</v>
      </c>
      <c r="B4" s="17">
        <v>45504</v>
      </c>
      <c r="C4" s="18">
        <v>59</v>
      </c>
      <c r="D4" s="18">
        <v>74</v>
      </c>
      <c r="E4" s="18">
        <v>102</v>
      </c>
      <c r="F4" s="18">
        <v>66</v>
      </c>
      <c r="G4" s="18">
        <v>88</v>
      </c>
      <c r="H4" s="19">
        <v>123</v>
      </c>
      <c r="I4">
        <f t="shared" si="0"/>
        <v>92.5</v>
      </c>
      <c r="J4">
        <f t="shared" si="1"/>
        <v>55.5</v>
      </c>
    </row>
    <row r="5" spans="1:10" ht="13.8" x14ac:dyDescent="0.25">
      <c r="A5" s="17">
        <v>45505</v>
      </c>
      <c r="B5" s="17">
        <v>45535</v>
      </c>
      <c r="C5" s="18">
        <v>80</v>
      </c>
      <c r="D5" s="18">
        <v>100</v>
      </c>
      <c r="E5" s="18">
        <v>141</v>
      </c>
      <c r="F5" s="18">
        <v>87</v>
      </c>
      <c r="G5" s="18">
        <v>114</v>
      </c>
      <c r="H5" s="19">
        <v>162</v>
      </c>
      <c r="I5">
        <f t="shared" si="0"/>
        <v>125</v>
      </c>
      <c r="J5">
        <f t="shared" si="1"/>
        <v>75</v>
      </c>
    </row>
    <row r="6" spans="1:10" ht="13.8" x14ac:dyDescent="0.25">
      <c r="A6" s="17">
        <v>45536</v>
      </c>
      <c r="B6" s="17">
        <v>45565</v>
      </c>
      <c r="C6" s="18">
        <v>59</v>
      </c>
      <c r="D6" s="18">
        <v>74</v>
      </c>
      <c r="E6" s="18">
        <v>102</v>
      </c>
      <c r="F6" s="18">
        <v>66</v>
      </c>
      <c r="G6" s="18">
        <v>88</v>
      </c>
      <c r="H6" s="19">
        <v>123</v>
      </c>
      <c r="I6">
        <f t="shared" si="0"/>
        <v>92.5</v>
      </c>
      <c r="J6">
        <f t="shared" si="1"/>
        <v>55.5</v>
      </c>
    </row>
    <row r="7" spans="1:10" ht="14.4" thickBot="1" x14ac:dyDescent="0.3">
      <c r="A7" s="17">
        <v>45566</v>
      </c>
      <c r="B7" s="17">
        <v>45596</v>
      </c>
      <c r="C7" s="18">
        <v>80</v>
      </c>
      <c r="D7" s="18">
        <v>100</v>
      </c>
      <c r="E7" s="18">
        <v>141</v>
      </c>
      <c r="F7" s="18">
        <v>87</v>
      </c>
      <c r="G7" s="18">
        <v>114</v>
      </c>
      <c r="H7" s="19">
        <v>162</v>
      </c>
      <c r="I7">
        <f t="shared" si="0"/>
        <v>125</v>
      </c>
      <c r="J7">
        <f t="shared" si="1"/>
        <v>75</v>
      </c>
    </row>
    <row r="8" spans="1:10" ht="14.4" thickTop="1" x14ac:dyDescent="0.25">
      <c r="A8" s="14">
        <v>45597</v>
      </c>
      <c r="B8" s="14">
        <v>45611</v>
      </c>
      <c r="C8" s="15">
        <v>78</v>
      </c>
      <c r="D8" s="15">
        <f>49*2</f>
        <v>98</v>
      </c>
      <c r="E8" s="15">
        <f>46*3</f>
        <v>138</v>
      </c>
      <c r="F8" s="15">
        <f>+C8+7</f>
        <v>85</v>
      </c>
      <c r="G8" s="15">
        <f>+D8+14</f>
        <v>112</v>
      </c>
      <c r="H8" s="16">
        <f>+E8+21</f>
        <v>159</v>
      </c>
      <c r="I8">
        <f>+(D8/2)*2.5</f>
        <v>122.5</v>
      </c>
      <c r="J8">
        <f>+(D8/2)*1.5</f>
        <v>73.5</v>
      </c>
    </row>
    <row r="9" spans="1:10" ht="13.8" x14ac:dyDescent="0.25">
      <c r="A9" s="17">
        <v>45612</v>
      </c>
      <c r="B9" s="17">
        <v>45649</v>
      </c>
      <c r="C9" s="18">
        <v>58</v>
      </c>
      <c r="D9" s="18">
        <f>36*2</f>
        <v>72</v>
      </c>
      <c r="E9" s="18">
        <f>33*3</f>
        <v>99</v>
      </c>
      <c r="F9" s="23">
        <f t="shared" ref="F9:F14" si="2">+C9+7</f>
        <v>65</v>
      </c>
      <c r="G9" s="18">
        <f>+D9+14</f>
        <v>86</v>
      </c>
      <c r="H9" s="19">
        <f>+E9+21</f>
        <v>120</v>
      </c>
      <c r="I9">
        <f t="shared" ref="I9:I13" si="3">+(D9/2)*2.5</f>
        <v>90</v>
      </c>
      <c r="J9">
        <f t="shared" ref="J9:J13" si="4">+(D9/2)*1.5</f>
        <v>54</v>
      </c>
    </row>
    <row r="10" spans="1:10" ht="13.8" x14ac:dyDescent="0.25">
      <c r="A10" s="17">
        <v>45650</v>
      </c>
      <c r="B10" s="17">
        <v>45667</v>
      </c>
      <c r="C10" s="18">
        <v>82</v>
      </c>
      <c r="D10" s="18">
        <f>51*2</f>
        <v>102</v>
      </c>
      <c r="E10" s="18">
        <f>48*3</f>
        <v>144</v>
      </c>
      <c r="F10" s="18">
        <f t="shared" si="2"/>
        <v>89</v>
      </c>
      <c r="G10" s="18">
        <f t="shared" ref="G10:G14" si="5">+D10+14</f>
        <v>116</v>
      </c>
      <c r="H10" s="19">
        <f t="shared" ref="H10:H14" si="6">+E10+21</f>
        <v>165</v>
      </c>
      <c r="I10">
        <f t="shared" si="3"/>
        <v>127.5</v>
      </c>
      <c r="J10">
        <f t="shared" si="4"/>
        <v>76.5</v>
      </c>
    </row>
    <row r="11" spans="1:10" ht="13.8" x14ac:dyDescent="0.25">
      <c r="A11" s="17">
        <v>45668</v>
      </c>
      <c r="B11" s="17">
        <v>45716</v>
      </c>
      <c r="C11" s="18">
        <v>50</v>
      </c>
      <c r="D11" s="18">
        <f>31*2</f>
        <v>62</v>
      </c>
      <c r="E11" s="18">
        <f>28*3</f>
        <v>84</v>
      </c>
      <c r="F11" s="18">
        <f t="shared" si="2"/>
        <v>57</v>
      </c>
      <c r="G11" s="18">
        <f t="shared" si="5"/>
        <v>76</v>
      </c>
      <c r="H11" s="19">
        <f t="shared" si="6"/>
        <v>105</v>
      </c>
      <c r="I11">
        <f t="shared" si="3"/>
        <v>77.5</v>
      </c>
      <c r="J11">
        <f t="shared" si="4"/>
        <v>46.5</v>
      </c>
    </row>
    <row r="12" spans="1:10" ht="13.8" x14ac:dyDescent="0.25">
      <c r="A12" s="17">
        <v>45717</v>
      </c>
      <c r="B12" s="17">
        <v>45739</v>
      </c>
      <c r="C12" s="18">
        <v>58</v>
      </c>
      <c r="D12" s="18">
        <f>36*2</f>
        <v>72</v>
      </c>
      <c r="E12" s="18">
        <v>99</v>
      </c>
      <c r="F12" s="18">
        <f t="shared" si="2"/>
        <v>65</v>
      </c>
      <c r="G12" s="18">
        <f t="shared" si="5"/>
        <v>86</v>
      </c>
      <c r="H12" s="19">
        <f t="shared" si="6"/>
        <v>120</v>
      </c>
      <c r="I12">
        <f t="shared" si="3"/>
        <v>90</v>
      </c>
      <c r="J12">
        <f t="shared" si="4"/>
        <v>54</v>
      </c>
    </row>
    <row r="13" spans="1:10" ht="13.8" x14ac:dyDescent="0.25">
      <c r="A13" s="17">
        <v>45740</v>
      </c>
      <c r="B13" s="17">
        <v>45755</v>
      </c>
      <c r="C13" s="18">
        <v>62</v>
      </c>
      <c r="D13" s="18">
        <f>39*2</f>
        <v>78</v>
      </c>
      <c r="E13" s="18">
        <f>36*3</f>
        <v>108</v>
      </c>
      <c r="F13" s="18">
        <f t="shared" si="2"/>
        <v>69</v>
      </c>
      <c r="G13" s="18">
        <f t="shared" si="5"/>
        <v>92</v>
      </c>
      <c r="H13" s="19">
        <f t="shared" si="6"/>
        <v>129</v>
      </c>
      <c r="I13">
        <f t="shared" si="3"/>
        <v>97.5</v>
      </c>
      <c r="J13">
        <f t="shared" si="4"/>
        <v>58.5</v>
      </c>
    </row>
    <row r="14" spans="1:10" ht="13.8" x14ac:dyDescent="0.25">
      <c r="A14" s="17">
        <v>45756</v>
      </c>
      <c r="B14" s="17">
        <v>45777</v>
      </c>
      <c r="C14" s="18">
        <v>74</v>
      </c>
      <c r="D14" s="18">
        <f>43*2</f>
        <v>86</v>
      </c>
      <c r="E14" s="18">
        <f>43*3</f>
        <v>129</v>
      </c>
      <c r="F14" s="18">
        <f t="shared" si="2"/>
        <v>81</v>
      </c>
      <c r="G14" s="18">
        <f t="shared" si="5"/>
        <v>100</v>
      </c>
      <c r="H14" s="19">
        <f t="shared" si="6"/>
        <v>150</v>
      </c>
      <c r="I14">
        <f t="shared" ref="I14" si="7">+(D14/2)*2.5</f>
        <v>107.5</v>
      </c>
      <c r="J14">
        <f t="shared" ref="J14" si="8">+(D14/2)*1.5</f>
        <v>64.5</v>
      </c>
    </row>
    <row r="56" spans="5:5" x14ac:dyDescent="0.25">
      <c r="E56" s="24">
        <v>41472</v>
      </c>
    </row>
    <row r="57" spans="5:5" x14ac:dyDescent="0.25">
      <c r="E57">
        <f>31/10/2024</f>
        <v>1.5316205533596838E-3</v>
      </c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'C:\Users\Area-Credit2\AppData\Local\Microsoft\Windows\INetCache\Content.Outlook\R4F19B9Y\[biblio Globus.xls]rate code'!#REF!</xm:f>
          </x14:formula1>
          <xm:sqref>I1</xm:sqref>
        </x14:dataValidation>
        <x14:dataValidation type="list" allowBlank="1" showInputMessage="1" showErrorMessage="1" xr:uid="{00000000-0002-0000-0100-000001000000}">
          <x14:formula1>
            <xm:f>'C:\Users\Area-Credit2\AppData\Local\Microsoft\Windows\INetCache\Content.Outlook\R4F19B9Y\[biblio -DEC.xlsx]ROOM TYPE'!#REF!</xm:f>
          </x14:formula1>
          <xm:sqref>C1:E1</xm:sqref>
        </x14:dataValidation>
        <x14:dataValidation type="list" allowBlank="1" showInputMessage="1" showErrorMessage="1" xr:uid="{00000000-0002-0000-0100-000002000000}">
          <x14:formula1>
            <xm:f>'D:\Hotels\Siva Golden Bay\Invoices DEC 24\Biblio -Dec\[Copy of biblio -DEC (2).xlsx]ROOM TYPE'!#REF!</xm:f>
          </x14:formula1>
          <xm:sqref>G1:H1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0"/>
  <sheetViews>
    <sheetView workbookViewId="0">
      <selection activeCell="P21" sqref="P21"/>
    </sheetView>
  </sheetViews>
  <sheetFormatPr defaultRowHeight="13.2" x14ac:dyDescent="0.25"/>
  <cols>
    <col min="1" max="1" width="11.33203125" bestFit="1" customWidth="1"/>
    <col min="2" max="2" width="13.5546875" bestFit="1" customWidth="1"/>
    <col min="3" max="8" width="15.6640625" customWidth="1"/>
    <col min="9" max="9" width="20" bestFit="1" customWidth="1"/>
  </cols>
  <sheetData>
    <row r="1" spans="1:10" ht="16.2" thickTop="1" x14ac:dyDescent="0.3">
      <c r="A1" s="9" t="s">
        <v>5</v>
      </c>
      <c r="B1" s="10" t="s">
        <v>6</v>
      </c>
      <c r="C1" s="25" t="s">
        <v>17</v>
      </c>
      <c r="D1" s="25" t="s">
        <v>15</v>
      </c>
      <c r="E1" s="25" t="s">
        <v>16</v>
      </c>
      <c r="F1" s="13" t="s">
        <v>11</v>
      </c>
      <c r="G1" s="25" t="s">
        <v>18</v>
      </c>
      <c r="H1" s="25" t="s">
        <v>14</v>
      </c>
      <c r="I1" s="21" t="s">
        <v>13</v>
      </c>
      <c r="J1" s="21" t="s">
        <v>12</v>
      </c>
    </row>
    <row r="2" spans="1:10" ht="13.8" x14ac:dyDescent="0.25">
      <c r="A2" s="7">
        <v>45487</v>
      </c>
      <c r="B2" s="7">
        <v>45504</v>
      </c>
      <c r="C2" s="4">
        <v>59</v>
      </c>
      <c r="D2" s="4">
        <v>74</v>
      </c>
      <c r="E2" s="4">
        <v>102</v>
      </c>
      <c r="F2" s="5">
        <v>66</v>
      </c>
      <c r="G2" s="6">
        <f>+D2+14</f>
        <v>88</v>
      </c>
      <c r="H2" s="8">
        <v>123</v>
      </c>
      <c r="I2">
        <f>+D2/2*2.5</f>
        <v>92.5</v>
      </c>
      <c r="J2">
        <f>+(D2/2)*1.5</f>
        <v>55.5</v>
      </c>
    </row>
    <row r="3" spans="1:10" ht="13.8" x14ac:dyDescent="0.25">
      <c r="A3" s="7">
        <v>45505</v>
      </c>
      <c r="B3" s="7">
        <v>45535</v>
      </c>
      <c r="C3" s="4">
        <v>51</v>
      </c>
      <c r="D3" s="4">
        <v>64</v>
      </c>
      <c r="E3" s="4">
        <v>87</v>
      </c>
      <c r="F3" s="5">
        <f>+C3+7</f>
        <v>58</v>
      </c>
      <c r="G3" s="6">
        <f t="shared" ref="G3:G5" si="0">+D3+14</f>
        <v>78</v>
      </c>
      <c r="H3" s="8">
        <v>81</v>
      </c>
      <c r="I3">
        <f t="shared" ref="I3:I5" si="1">+D3/2*2.5</f>
        <v>80</v>
      </c>
      <c r="J3">
        <f>+(D3/2)*1.5</f>
        <v>48</v>
      </c>
    </row>
    <row r="4" spans="1:10" ht="13.8" x14ac:dyDescent="0.25">
      <c r="A4" s="7">
        <v>45536</v>
      </c>
      <c r="B4" s="7">
        <v>45565</v>
      </c>
      <c r="C4" s="4">
        <v>53</v>
      </c>
      <c r="D4" s="4">
        <v>66</v>
      </c>
      <c r="E4" s="4">
        <v>90</v>
      </c>
      <c r="F4" s="5">
        <f t="shared" ref="F4:F5" si="2">+C4+7</f>
        <v>60</v>
      </c>
      <c r="G4" s="6">
        <f t="shared" si="0"/>
        <v>80</v>
      </c>
      <c r="H4" s="8">
        <v>75</v>
      </c>
      <c r="I4">
        <f t="shared" si="1"/>
        <v>82.5</v>
      </c>
      <c r="J4">
        <f>+(D4/2)*1.5</f>
        <v>49.5</v>
      </c>
    </row>
    <row r="5" spans="1:10" ht="14.4" thickBot="1" x14ac:dyDescent="0.3">
      <c r="A5" s="7">
        <v>45566</v>
      </c>
      <c r="B5" s="7">
        <v>45596</v>
      </c>
      <c r="C5" s="4">
        <v>59</v>
      </c>
      <c r="D5" s="4">
        <v>74</v>
      </c>
      <c r="E5" s="4">
        <v>102</v>
      </c>
      <c r="F5" s="5">
        <f t="shared" si="2"/>
        <v>66</v>
      </c>
      <c r="G5" s="6">
        <f t="shared" si="0"/>
        <v>88</v>
      </c>
      <c r="H5" s="8">
        <v>75</v>
      </c>
      <c r="I5">
        <f t="shared" si="1"/>
        <v>92.5</v>
      </c>
      <c r="J5">
        <f>+(D5/2)*1.5</f>
        <v>55.5</v>
      </c>
    </row>
    <row r="6" spans="1:10" ht="14.4" thickTop="1" x14ac:dyDescent="0.25">
      <c r="A6" s="14">
        <v>45597</v>
      </c>
      <c r="B6" s="14">
        <v>45611</v>
      </c>
      <c r="C6" s="15">
        <v>78</v>
      </c>
      <c r="D6" s="15">
        <f>49*2</f>
        <v>98</v>
      </c>
      <c r="E6" s="15">
        <f>46*3</f>
        <v>138</v>
      </c>
      <c r="F6" s="15">
        <f>+C6+7</f>
        <v>85</v>
      </c>
      <c r="G6" s="15">
        <f>+D6+14</f>
        <v>112</v>
      </c>
      <c r="H6" s="16">
        <f>+E6+21</f>
        <v>159</v>
      </c>
      <c r="I6">
        <f>+(D6/2)*2.5</f>
        <v>122.5</v>
      </c>
      <c r="J6">
        <f>+(D6/2)*1.5</f>
        <v>73.5</v>
      </c>
    </row>
    <row r="7" spans="1:10" ht="13.8" x14ac:dyDescent="0.25">
      <c r="A7" s="17">
        <v>45612</v>
      </c>
      <c r="B7" s="17">
        <v>45649</v>
      </c>
      <c r="C7" s="18">
        <v>58</v>
      </c>
      <c r="D7" s="18">
        <f>36*2</f>
        <v>72</v>
      </c>
      <c r="E7" s="18">
        <f>33*3</f>
        <v>99</v>
      </c>
      <c r="F7" s="23">
        <f t="shared" ref="F7:F12" si="3">+C7+7</f>
        <v>65</v>
      </c>
      <c r="G7" s="18">
        <f>+D7+14</f>
        <v>86</v>
      </c>
      <c r="H7" s="19">
        <f>+E7+21</f>
        <v>120</v>
      </c>
      <c r="I7">
        <f t="shared" ref="I7:I12" si="4">+(D7/2)*2.5</f>
        <v>90</v>
      </c>
      <c r="J7">
        <f t="shared" ref="J7:J12" si="5">+(D7/2)*1.5</f>
        <v>54</v>
      </c>
    </row>
    <row r="8" spans="1:10" ht="13.8" x14ac:dyDescent="0.25">
      <c r="A8" s="17">
        <v>45650</v>
      </c>
      <c r="B8" s="17">
        <v>45667</v>
      </c>
      <c r="C8" s="18">
        <v>82</v>
      </c>
      <c r="D8" s="18">
        <f>51*2</f>
        <v>102</v>
      </c>
      <c r="E8" s="18">
        <f>48*3</f>
        <v>144</v>
      </c>
      <c r="F8" s="18">
        <f t="shared" si="3"/>
        <v>89</v>
      </c>
      <c r="G8" s="18">
        <f t="shared" ref="G8:G12" si="6">+D8+14</f>
        <v>116</v>
      </c>
      <c r="H8" s="19">
        <f t="shared" ref="H8:H12" si="7">+E8+21</f>
        <v>165</v>
      </c>
      <c r="I8">
        <f t="shared" si="4"/>
        <v>127.5</v>
      </c>
      <c r="J8">
        <f t="shared" si="5"/>
        <v>76.5</v>
      </c>
    </row>
    <row r="9" spans="1:10" ht="13.8" x14ac:dyDescent="0.25">
      <c r="A9" s="17">
        <v>45668</v>
      </c>
      <c r="B9" s="17">
        <v>45716</v>
      </c>
      <c r="C9" s="18">
        <v>50</v>
      </c>
      <c r="D9" s="18">
        <f>31*2</f>
        <v>62</v>
      </c>
      <c r="E9" s="18">
        <f>28*3</f>
        <v>84</v>
      </c>
      <c r="F9" s="18">
        <f t="shared" si="3"/>
        <v>57</v>
      </c>
      <c r="G9" s="18">
        <f t="shared" si="6"/>
        <v>76</v>
      </c>
      <c r="H9" s="19">
        <f t="shared" si="7"/>
        <v>105</v>
      </c>
      <c r="I9">
        <f t="shared" si="4"/>
        <v>77.5</v>
      </c>
      <c r="J9">
        <f t="shared" si="5"/>
        <v>46.5</v>
      </c>
    </row>
    <row r="10" spans="1:10" ht="13.8" x14ac:dyDescent="0.25">
      <c r="A10" s="17">
        <v>45717</v>
      </c>
      <c r="B10" s="17">
        <v>45739</v>
      </c>
      <c r="C10" s="18">
        <v>58</v>
      </c>
      <c r="D10" s="18">
        <f>36*2</f>
        <v>72</v>
      </c>
      <c r="E10" s="18">
        <v>99</v>
      </c>
      <c r="F10" s="18">
        <f t="shared" si="3"/>
        <v>65</v>
      </c>
      <c r="G10" s="18">
        <f t="shared" si="6"/>
        <v>86</v>
      </c>
      <c r="H10" s="19">
        <f t="shared" si="7"/>
        <v>120</v>
      </c>
      <c r="I10">
        <f t="shared" si="4"/>
        <v>90</v>
      </c>
      <c r="J10">
        <f t="shared" si="5"/>
        <v>54</v>
      </c>
    </row>
    <row r="11" spans="1:10" ht="13.8" x14ac:dyDescent="0.25">
      <c r="A11" s="17">
        <v>45740</v>
      </c>
      <c r="B11" s="17">
        <v>45755</v>
      </c>
      <c r="C11" s="18">
        <v>62</v>
      </c>
      <c r="D11" s="18">
        <f>39*2</f>
        <v>78</v>
      </c>
      <c r="E11" s="18">
        <f>36*3</f>
        <v>108</v>
      </c>
      <c r="F11" s="18">
        <f t="shared" si="3"/>
        <v>69</v>
      </c>
      <c r="G11" s="18">
        <f t="shared" si="6"/>
        <v>92</v>
      </c>
      <c r="H11" s="19">
        <f t="shared" si="7"/>
        <v>129</v>
      </c>
      <c r="I11">
        <f t="shared" si="4"/>
        <v>97.5</v>
      </c>
      <c r="J11">
        <f t="shared" si="5"/>
        <v>58.5</v>
      </c>
    </row>
    <row r="12" spans="1:10" ht="13.8" x14ac:dyDescent="0.25">
      <c r="A12" s="17">
        <v>45756</v>
      </c>
      <c r="B12" s="17">
        <v>45777</v>
      </c>
      <c r="C12" s="18">
        <v>74</v>
      </c>
      <c r="D12" s="18">
        <f>43*2</f>
        <v>86</v>
      </c>
      <c r="E12" s="18">
        <f>43*3</f>
        <v>129</v>
      </c>
      <c r="F12" s="18">
        <f t="shared" si="3"/>
        <v>81</v>
      </c>
      <c r="G12" s="18">
        <f t="shared" si="6"/>
        <v>100</v>
      </c>
      <c r="H12" s="19">
        <f t="shared" si="7"/>
        <v>150</v>
      </c>
      <c r="I12">
        <f t="shared" si="4"/>
        <v>107.5</v>
      </c>
      <c r="J12">
        <f t="shared" si="5"/>
        <v>64.5</v>
      </c>
    </row>
    <row r="15" spans="1:10" x14ac:dyDescent="0.25">
      <c r="J15" s="22"/>
    </row>
    <row r="19" spans="16:16" x14ac:dyDescent="0.25">
      <c r="P19">
        <f>31*1.5</f>
        <v>46.5</v>
      </c>
    </row>
    <row r="20" spans="16:16" x14ac:dyDescent="0.25">
      <c r="P20">
        <f>31/2</f>
        <v>15.5</v>
      </c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'C:\Users\Area-Credit2\AppData\Local\Microsoft\Windows\INetCache\Content.Outlook\R4F19B9Y\[biblio Globus.xls]rate code'!#REF!</xm:f>
          </x14:formula1>
          <xm:sqref>I1</xm:sqref>
        </x14:dataValidation>
        <x14:dataValidation type="list" allowBlank="1" showInputMessage="1" showErrorMessage="1" xr:uid="{00000000-0002-0000-0200-000001000000}">
          <x14:formula1>
            <xm:f>'C:\Users\Area-Credit2\AppData\Local\Microsoft\Windows\INetCache\Content.Outlook\R4F19B9Y\[biblio -DEC.xlsx]ROOM TYPE'!#REF!</xm:f>
          </x14:formula1>
          <xm:sqref>H1 C1:E1</xm:sqref>
        </x14:dataValidation>
        <x14:dataValidation type="list" allowBlank="1" showInputMessage="1" showErrorMessage="1" xr:uid="{00000000-0002-0000-0200-000002000000}">
          <x14:formula1>
            <xm:f>'D:\Hotels\Siva Golden Bay\Invoices DEC 24\Biblio -Dec\[Copy of biblio -DEC (2).xlsx]ROOM TYPE'!#REF!</xm:f>
          </x14:formula1>
          <xm:sqref>G1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workbookViewId="0">
      <selection activeCell="B5" sqref="B5"/>
    </sheetView>
  </sheetViews>
  <sheetFormatPr defaultRowHeight="13.2" x14ac:dyDescent="0.25"/>
  <cols>
    <col min="1" max="1" width="11.33203125" bestFit="1" customWidth="1"/>
    <col min="2" max="2" width="13.5546875" bestFit="1" customWidth="1"/>
    <col min="3" max="8" width="15.6640625" customWidth="1"/>
    <col min="9" max="9" width="20" bestFit="1" customWidth="1"/>
  </cols>
  <sheetData>
    <row r="1" spans="1:10" ht="16.2" thickTop="1" x14ac:dyDescent="0.3">
      <c r="A1" s="9" t="s">
        <v>5</v>
      </c>
      <c r="B1" s="10" t="s">
        <v>6</v>
      </c>
      <c r="C1" s="25" t="s">
        <v>17</v>
      </c>
      <c r="D1" s="25" t="s">
        <v>15</v>
      </c>
      <c r="E1" s="25" t="s">
        <v>16</v>
      </c>
      <c r="F1" s="13" t="s">
        <v>11</v>
      </c>
      <c r="G1" s="25" t="s">
        <v>18</v>
      </c>
      <c r="H1" s="25" t="s">
        <v>14</v>
      </c>
      <c r="I1" s="21" t="s">
        <v>13</v>
      </c>
      <c r="J1" s="21" t="s">
        <v>12</v>
      </c>
    </row>
    <row r="2" spans="1:10" ht="13.8" x14ac:dyDescent="0.25">
      <c r="A2" s="7">
        <v>45577</v>
      </c>
      <c r="B2" s="7">
        <v>45596</v>
      </c>
      <c r="C2" s="4">
        <v>59</v>
      </c>
      <c r="D2" s="4">
        <v>74</v>
      </c>
      <c r="E2" s="4">
        <v>102</v>
      </c>
      <c r="F2" s="5">
        <v>66</v>
      </c>
      <c r="G2" s="6">
        <f>+D2+14</f>
        <v>88</v>
      </c>
      <c r="H2" s="8">
        <f>+E2+21</f>
        <v>123</v>
      </c>
      <c r="I2">
        <f>+D2/2*2.5</f>
        <v>92.5</v>
      </c>
      <c r="J2">
        <f>+(D2/2)*1.5</f>
        <v>55.5</v>
      </c>
    </row>
    <row r="3" spans="1:10" ht="13.8" x14ac:dyDescent="0.25">
      <c r="A3" s="7">
        <v>45597</v>
      </c>
      <c r="B3" s="7">
        <v>45611</v>
      </c>
      <c r="C3" s="4">
        <v>61</v>
      </c>
      <c r="D3" s="4">
        <v>76</v>
      </c>
      <c r="E3" s="4">
        <v>105</v>
      </c>
      <c r="F3" s="5">
        <f>+C3+7</f>
        <v>68</v>
      </c>
      <c r="G3" s="6">
        <f t="shared" ref="G3:G5" si="0">+D3+14</f>
        <v>90</v>
      </c>
      <c r="H3" s="8">
        <f>+E3+21</f>
        <v>126</v>
      </c>
      <c r="I3">
        <f t="shared" ref="I3:I5" si="1">+D3/2*2.5</f>
        <v>95</v>
      </c>
      <c r="J3">
        <f>+(D3/2)*1.5</f>
        <v>57</v>
      </c>
    </row>
    <row r="4" spans="1:10" ht="13.8" x14ac:dyDescent="0.25">
      <c r="A4" s="7">
        <v>45612</v>
      </c>
      <c r="B4" s="7">
        <v>45649</v>
      </c>
      <c r="C4" s="18">
        <v>58</v>
      </c>
      <c r="D4" s="18">
        <f>36*2</f>
        <v>72</v>
      </c>
      <c r="E4" s="18">
        <f>33*3</f>
        <v>99</v>
      </c>
      <c r="F4" s="5">
        <f t="shared" ref="F4" si="2">+C4+7</f>
        <v>65</v>
      </c>
      <c r="G4" s="6">
        <f t="shared" ref="G4" si="3">+D4+14</f>
        <v>86</v>
      </c>
      <c r="H4" s="8">
        <f>+E4+21</f>
        <v>120</v>
      </c>
      <c r="I4">
        <f t="shared" ref="I4" si="4">+D4/2*2.5</f>
        <v>90</v>
      </c>
      <c r="J4">
        <f>+(D4/2)*1.5</f>
        <v>54</v>
      </c>
    </row>
    <row r="5" spans="1:10" ht="13.8" x14ac:dyDescent="0.25">
      <c r="A5" s="7">
        <v>45650</v>
      </c>
      <c r="B5" s="7">
        <v>45667</v>
      </c>
      <c r="C5" s="4">
        <v>69</v>
      </c>
      <c r="D5" s="4">
        <v>86</v>
      </c>
      <c r="E5" s="4">
        <v>120</v>
      </c>
      <c r="F5" s="5">
        <f t="shared" ref="F5" si="5">+C5+7</f>
        <v>76</v>
      </c>
      <c r="G5" s="6">
        <f t="shared" si="0"/>
        <v>100</v>
      </c>
      <c r="H5" s="8">
        <f>+E5+21</f>
        <v>141</v>
      </c>
      <c r="I5">
        <f t="shared" si="1"/>
        <v>107.5</v>
      </c>
      <c r="J5">
        <f>+(D5/2)*1.5</f>
        <v>64.5</v>
      </c>
    </row>
    <row r="8" spans="1:10" x14ac:dyDescent="0.25">
      <c r="J8" s="22"/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'C:\Users\Area-Credit2\AppData\Local\Microsoft\Windows\INetCache\Content.Outlook\R4F19B9Y\[biblio Globus.xls]rate code'!#REF!</xm:f>
          </x14:formula1>
          <xm:sqref>I1</xm:sqref>
        </x14:dataValidation>
        <x14:dataValidation type="list" allowBlank="1" showInputMessage="1" showErrorMessage="1" xr:uid="{00000000-0002-0000-0300-000001000000}">
          <x14:formula1>
            <xm:f>'C:\Users\Area-Credit2\AppData\Local\Microsoft\Windows\INetCache\Content.Outlook\R4F19B9Y\[biblio -DEC.xlsx]ROOM TYPE'!#REF!</xm:f>
          </x14:formula1>
          <xm:sqref>H1 C1:E1</xm:sqref>
        </x14:dataValidation>
        <x14:dataValidation type="list" allowBlank="1" showInputMessage="1" showErrorMessage="1" xr:uid="{00000000-0002-0000-0300-000002000000}">
          <x14:formula1>
            <xm:f>'D:\Hotels\Siva Golden Bay\Invoices DEC 24\Biblio -Dec\[Copy of biblio -DEC (2).xlsx]ROOM TYPE'!#REF!</xm:f>
          </x14:formula1>
          <xm:sqref>G1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"/>
  <sheetViews>
    <sheetView workbookViewId="0">
      <selection activeCell="A5" sqref="A5:XFD5"/>
    </sheetView>
  </sheetViews>
  <sheetFormatPr defaultRowHeight="13.2" x14ac:dyDescent="0.25"/>
  <cols>
    <col min="1" max="1" width="11.33203125" bestFit="1" customWidth="1"/>
    <col min="2" max="2" width="13.5546875" bestFit="1" customWidth="1"/>
    <col min="3" max="8" width="15.6640625" customWidth="1"/>
    <col min="9" max="9" width="20" bestFit="1" customWidth="1"/>
  </cols>
  <sheetData>
    <row r="1" spans="1:10" ht="16.2" thickTop="1" x14ac:dyDescent="0.3">
      <c r="A1" s="9" t="s">
        <v>5</v>
      </c>
      <c r="B1" s="10" t="s">
        <v>6</v>
      </c>
      <c r="C1" s="25" t="s">
        <v>17</v>
      </c>
      <c r="D1" s="25" t="s">
        <v>15</v>
      </c>
      <c r="E1" s="25" t="s">
        <v>16</v>
      </c>
      <c r="F1" s="13" t="s">
        <v>11</v>
      </c>
      <c r="G1" s="25" t="s">
        <v>18</v>
      </c>
      <c r="H1" s="25" t="s">
        <v>14</v>
      </c>
      <c r="I1" s="21" t="s">
        <v>13</v>
      </c>
      <c r="J1" s="21" t="s">
        <v>12</v>
      </c>
    </row>
    <row r="2" spans="1:10" ht="13.8" x14ac:dyDescent="0.25">
      <c r="A2" s="7">
        <v>45612</v>
      </c>
      <c r="B2" s="7">
        <v>45622</v>
      </c>
      <c r="C2" s="18">
        <v>58</v>
      </c>
      <c r="D2" s="18">
        <f>36*2</f>
        <v>72</v>
      </c>
      <c r="E2" s="18">
        <f>33*3</f>
        <v>99</v>
      </c>
      <c r="F2" s="23">
        <f t="shared" ref="F2" si="0">+C2+7</f>
        <v>65</v>
      </c>
      <c r="G2" s="18">
        <f>+D2+14</f>
        <v>86</v>
      </c>
      <c r="H2" s="19">
        <f>+E2+21</f>
        <v>120</v>
      </c>
      <c r="I2">
        <f>+(G2/2)*2.5</f>
        <v>107.5</v>
      </c>
      <c r="J2">
        <f t="shared" ref="J2" si="1">+(D2/2)*1.5</f>
        <v>54</v>
      </c>
    </row>
    <row r="3" spans="1:10" ht="13.8" x14ac:dyDescent="0.25">
      <c r="A3" s="7">
        <v>45623</v>
      </c>
      <c r="B3" s="7">
        <v>45649</v>
      </c>
      <c r="C3" s="4">
        <v>48</v>
      </c>
      <c r="D3" s="4">
        <v>60</v>
      </c>
      <c r="E3" s="4">
        <v>81</v>
      </c>
      <c r="F3" s="5">
        <f>+C3+7</f>
        <v>55</v>
      </c>
      <c r="G3" s="18">
        <f t="shared" ref="G3:G5" si="2">+D3+14</f>
        <v>74</v>
      </c>
      <c r="H3" s="19">
        <f t="shared" ref="H3:H5" si="3">+E3+21</f>
        <v>102</v>
      </c>
      <c r="I3">
        <f t="shared" ref="I3:I5" si="4">+(G3/2)*2.5</f>
        <v>92.5</v>
      </c>
      <c r="J3">
        <f t="shared" ref="J3:J5" si="5">+(D3/2)*1.5</f>
        <v>45</v>
      </c>
    </row>
    <row r="4" spans="1:10" ht="13.8" x14ac:dyDescent="0.25">
      <c r="A4" s="7">
        <v>45650</v>
      </c>
      <c r="B4" s="7">
        <v>45667</v>
      </c>
      <c r="C4" s="4">
        <v>61</v>
      </c>
      <c r="D4" s="4">
        <v>76</v>
      </c>
      <c r="E4" s="4">
        <v>105</v>
      </c>
      <c r="F4" s="5">
        <f t="shared" ref="F4:F5" si="6">+C4+7</f>
        <v>68</v>
      </c>
      <c r="G4" s="18">
        <f t="shared" si="2"/>
        <v>90</v>
      </c>
      <c r="H4" s="19">
        <f t="shared" si="3"/>
        <v>126</v>
      </c>
      <c r="I4">
        <f t="shared" si="4"/>
        <v>112.5</v>
      </c>
      <c r="J4">
        <f t="shared" si="5"/>
        <v>57</v>
      </c>
    </row>
    <row r="5" spans="1:10" ht="13.8" x14ac:dyDescent="0.25">
      <c r="A5" s="7">
        <v>45668</v>
      </c>
      <c r="B5" s="7">
        <v>45716</v>
      </c>
      <c r="C5" s="4">
        <v>45</v>
      </c>
      <c r="D5" s="4">
        <v>56</v>
      </c>
      <c r="E5" s="4">
        <v>75</v>
      </c>
      <c r="F5" s="5">
        <f t="shared" si="6"/>
        <v>52</v>
      </c>
      <c r="G5" s="18">
        <f t="shared" si="2"/>
        <v>70</v>
      </c>
      <c r="H5" s="19">
        <f t="shared" si="3"/>
        <v>96</v>
      </c>
      <c r="I5">
        <f t="shared" si="4"/>
        <v>87.5</v>
      </c>
      <c r="J5">
        <f t="shared" si="5"/>
        <v>42</v>
      </c>
    </row>
    <row r="7" spans="1:10" x14ac:dyDescent="0.25">
      <c r="J7" s="22"/>
    </row>
    <row r="15" spans="1:10" x14ac:dyDescent="0.25">
      <c r="I15" s="26"/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'C:\Users\Area-Credit2\AppData\Local\Microsoft\Windows\INetCache\Content.Outlook\R4F19B9Y\[biblio Globus.xls]rate code'!#REF!</xm:f>
          </x14:formula1>
          <xm:sqref>I1</xm:sqref>
        </x14:dataValidation>
        <x14:dataValidation type="list" allowBlank="1" showInputMessage="1" showErrorMessage="1" xr:uid="{00000000-0002-0000-0400-000001000000}">
          <x14:formula1>
            <xm:f>'C:\Users\Area-Credit2\AppData\Local\Microsoft\Windows\INetCache\Content.Outlook\R4F19B9Y\[biblio -DEC.xlsx]ROOM TYPE'!#REF!</xm:f>
          </x14:formula1>
          <xm:sqref>H1 C1:E1</xm:sqref>
        </x14:dataValidation>
        <x14:dataValidation type="list" allowBlank="1" showInputMessage="1" showErrorMessage="1" xr:uid="{00000000-0002-0000-0400-000002000000}">
          <x14:formula1>
            <xm:f>'D:\Hotels\Siva Golden Bay\Invoices DEC 24\Biblio -Dec\[Copy of biblio -DEC (2).xlsx]ROOM TYPE'!#REF!</xm:f>
          </x14:formula1>
          <xm:sqref>G1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statment</vt:lpstr>
      <vt:lpstr>contract</vt:lpstr>
      <vt:lpstr>spo from 14.07 to 11.10</vt:lpstr>
      <vt:lpstr>spo from 12.10 to 15.11</vt:lpstr>
      <vt:lpstr>spo from 16.11 to 28.02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creditg</dc:creator>
  <cp:lastModifiedBy>جوناثان ممدوح منير صبحى</cp:lastModifiedBy>
  <cp:lastPrinted>2022-10-27T07:02:22Z</cp:lastPrinted>
  <dcterms:created xsi:type="dcterms:W3CDTF">2016-10-13T07:40:59Z</dcterms:created>
  <dcterms:modified xsi:type="dcterms:W3CDTF">2025-01-30T23:08:51Z</dcterms:modified>
</cp:coreProperties>
</file>