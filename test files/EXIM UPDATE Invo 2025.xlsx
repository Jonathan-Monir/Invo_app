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F3FCF3D0-E87C-4BA1-BB48-F0D373C46D13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statment" sheetId="6" r:id="rId1"/>
    <sheet name="contract" sheetId="40" r:id="rId2"/>
    <sheet name="spo24.11 to 28.02" sheetId="34" r:id="rId3"/>
  </sheets>
  <externalReferences>
    <externalReference r:id="rId4"/>
    <externalReference r:id="rId5"/>
    <externalReference r:id="rId6"/>
  </externalReferences>
  <definedNames>
    <definedName name="_xlnm._FilterDatabase" localSheetId="0" hidden="1">statment!$B$1:$J$89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G4" i="34"/>
  <c r="F4" i="34"/>
  <c r="E4" i="34"/>
  <c r="D4" i="34"/>
  <c r="C4" i="34"/>
  <c r="G3" i="34"/>
  <c r="F3" i="34"/>
  <c r="E3" i="34"/>
  <c r="D3" i="34"/>
  <c r="G2" i="34"/>
  <c r="F2" i="34"/>
  <c r="E2" i="34"/>
  <c r="D2" i="34"/>
  <c r="C2" i="34"/>
  <c r="G3" i="40"/>
  <c r="F3" i="40"/>
  <c r="E3" i="40"/>
  <c r="D3" i="40"/>
  <c r="I99" i="6"/>
  <c r="J99" i="6" s="1"/>
  <c r="H99" i="6"/>
  <c r="H98" i="6"/>
  <c r="J98" i="6" s="1"/>
  <c r="J97" i="6"/>
  <c r="I97" i="6"/>
  <c r="H97" i="6"/>
  <c r="H96" i="6"/>
  <c r="J96" i="6" s="1"/>
  <c r="J95" i="6"/>
  <c r="H95" i="6"/>
  <c r="H94" i="6"/>
  <c r="J94" i="6" s="1"/>
  <c r="H93" i="6"/>
  <c r="J93" i="6" s="1"/>
  <c r="H92" i="6"/>
  <c r="J92" i="6" s="1"/>
  <c r="I91" i="6"/>
  <c r="H91" i="6"/>
  <c r="J91" i="6" s="1"/>
  <c r="J90" i="6"/>
  <c r="I90" i="6"/>
  <c r="H90" i="6"/>
  <c r="H89" i="6"/>
  <c r="J89" i="6" s="1"/>
  <c r="J88" i="6"/>
  <c r="H88" i="6"/>
  <c r="H87" i="6"/>
  <c r="J87" i="6" s="1"/>
  <c r="I86" i="6"/>
  <c r="H86" i="6"/>
  <c r="J86" i="6" s="1"/>
  <c r="J85" i="6"/>
  <c r="H85" i="6"/>
  <c r="H84" i="6"/>
  <c r="J84" i="6" s="1"/>
  <c r="J83" i="6"/>
  <c r="H83" i="6"/>
  <c r="I82" i="6"/>
  <c r="J82" i="6" s="1"/>
  <c r="H82" i="6"/>
  <c r="J81" i="6"/>
  <c r="H81" i="6"/>
  <c r="H80" i="6"/>
  <c r="J80" i="6" s="1"/>
  <c r="J79" i="6"/>
  <c r="H79" i="6"/>
  <c r="H78" i="6"/>
  <c r="J78" i="6" s="1"/>
  <c r="J77" i="6"/>
  <c r="H77" i="6"/>
  <c r="H76" i="6"/>
  <c r="J76" i="6" s="1"/>
  <c r="J75" i="6"/>
  <c r="H75" i="6"/>
  <c r="I74" i="6"/>
  <c r="J74" i="6" s="1"/>
  <c r="H74" i="6"/>
  <c r="I73" i="6"/>
  <c r="J73" i="6" s="1"/>
  <c r="H73" i="6"/>
  <c r="I72" i="6"/>
  <c r="H72" i="6"/>
  <c r="J72" i="6" s="1"/>
  <c r="J71" i="6"/>
  <c r="H71" i="6"/>
  <c r="H70" i="6"/>
  <c r="J70" i="6" s="1"/>
  <c r="H69" i="6"/>
  <c r="J69" i="6" s="1"/>
  <c r="H68" i="6"/>
  <c r="J68" i="6" s="1"/>
  <c r="H67" i="6"/>
  <c r="J67" i="6" s="1"/>
  <c r="H66" i="6"/>
  <c r="J66" i="6" s="1"/>
  <c r="H65" i="6"/>
  <c r="J65" i="6" s="1"/>
  <c r="I64" i="6"/>
  <c r="H64" i="6"/>
  <c r="J63" i="6"/>
  <c r="H63" i="6"/>
  <c r="H62" i="6"/>
  <c r="J62" i="6" s="1"/>
  <c r="I61" i="6"/>
  <c r="H61" i="6"/>
  <c r="J61" i="6" s="1"/>
  <c r="I60" i="6"/>
  <c r="H60" i="6"/>
  <c r="J60" i="6" s="1"/>
  <c r="J59" i="6"/>
  <c r="H59" i="6"/>
  <c r="J58" i="6"/>
  <c r="H58" i="6"/>
  <c r="J57" i="6"/>
  <c r="H57" i="6"/>
  <c r="H56" i="6"/>
  <c r="J56" i="6" s="1"/>
  <c r="H55" i="6"/>
  <c r="J55" i="6" s="1"/>
  <c r="I54" i="6"/>
  <c r="H54" i="6"/>
  <c r="J54" i="6" s="1"/>
  <c r="H53" i="6"/>
  <c r="J53" i="6" s="1"/>
  <c r="I52" i="6"/>
  <c r="J52" i="6" s="1"/>
  <c r="H52" i="6"/>
  <c r="H51" i="6"/>
  <c r="J51" i="6" s="1"/>
  <c r="J50" i="6"/>
  <c r="H50" i="6"/>
  <c r="H49" i="6"/>
  <c r="J49" i="6" s="1"/>
  <c r="J48" i="6"/>
  <c r="H48" i="6"/>
  <c r="H47" i="6"/>
  <c r="J47" i="6" s="1"/>
  <c r="H46" i="6"/>
  <c r="J46" i="6" s="1"/>
  <c r="J45" i="6"/>
  <c r="H45" i="6"/>
  <c r="H44" i="6"/>
  <c r="J44" i="6" s="1"/>
  <c r="J43" i="6"/>
  <c r="H43" i="6"/>
  <c r="H42" i="6"/>
  <c r="J42" i="6" s="1"/>
  <c r="J41" i="6"/>
  <c r="H41" i="6"/>
  <c r="I40" i="6"/>
  <c r="J40" i="6" s="1"/>
  <c r="H40" i="6"/>
  <c r="I39" i="6"/>
  <c r="H39" i="6"/>
  <c r="J38" i="6"/>
  <c r="H38" i="6"/>
  <c r="J37" i="6"/>
  <c r="H37" i="6"/>
  <c r="J36" i="6"/>
  <c r="H36" i="6"/>
  <c r="J35" i="6"/>
  <c r="H35" i="6"/>
  <c r="J34" i="6"/>
  <c r="H34" i="6"/>
  <c r="J33" i="6"/>
  <c r="H33" i="6"/>
  <c r="J32" i="6"/>
  <c r="H32" i="6"/>
  <c r="J31" i="6"/>
  <c r="H31" i="6"/>
  <c r="J30" i="6"/>
  <c r="H30" i="6"/>
  <c r="J29" i="6"/>
  <c r="H29" i="6"/>
  <c r="J28" i="6"/>
  <c r="H28" i="6"/>
  <c r="J27" i="6"/>
  <c r="H27" i="6"/>
  <c r="J26" i="6"/>
  <c r="H26" i="6"/>
  <c r="J25" i="6"/>
  <c r="H25" i="6"/>
  <c r="J24" i="6"/>
  <c r="H24" i="6"/>
  <c r="J23" i="6"/>
  <c r="H23" i="6"/>
  <c r="J22" i="6"/>
  <c r="H22" i="6"/>
  <c r="J21" i="6"/>
  <c r="H21" i="6"/>
  <c r="J20" i="6"/>
  <c r="H20" i="6"/>
  <c r="J19" i="6"/>
  <c r="H19" i="6"/>
  <c r="J18" i="6"/>
  <c r="H18" i="6"/>
  <c r="J17" i="6"/>
  <c r="H17" i="6"/>
  <c r="J16" i="6"/>
  <c r="H16" i="6"/>
  <c r="J15" i="6"/>
  <c r="H15" i="6"/>
  <c r="J14" i="6"/>
  <c r="H14" i="6"/>
  <c r="J13" i="6"/>
  <c r="H13" i="6"/>
  <c r="J12" i="6"/>
  <c r="H12" i="6"/>
  <c r="J11" i="6"/>
  <c r="H11" i="6"/>
  <c r="J10" i="6"/>
  <c r="H10" i="6"/>
  <c r="J9" i="6"/>
  <c r="H9" i="6"/>
  <c r="J8" i="6"/>
  <c r="H8" i="6"/>
  <c r="J7" i="6"/>
  <c r="H7" i="6"/>
  <c r="J6" i="6"/>
  <c r="H6" i="6"/>
  <c r="J5" i="6"/>
  <c r="H5" i="6"/>
  <c r="J4" i="6"/>
  <c r="H4" i="6"/>
  <c r="H3" i="6"/>
  <c r="J3" i="6" s="1"/>
  <c r="H2" i="6"/>
  <c r="J64" i="6" l="1"/>
  <c r="J39" i="6"/>
</calcChain>
</file>

<file path=xl/sharedStrings.xml><?xml version="1.0" encoding="utf-8"?>
<sst xmlns="http://schemas.openxmlformats.org/spreadsheetml/2006/main" count="163" uniqueCount="28">
  <si>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</si>
  <si>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</si>
  <si>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</si>
  <si>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</si>
  <si>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</si>
  <si>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</si>
  <si>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</si>
  <si>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</si>
  <si>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</si>
  <si>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</si>
  <si>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</si>
  <si>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DBL-BUN+CH</t>
  </si>
  <si>
    <t xml:space="preserve">TPL-BUNG </t>
  </si>
  <si>
    <t xml:space="preserve">DBL-DEX </t>
  </si>
  <si>
    <t>TPL-DEX</t>
  </si>
  <si>
    <t>SGL-DEX</t>
  </si>
  <si>
    <t xml:space="preserve">DBL-BUNG </t>
  </si>
  <si>
    <t>DBL-JS BAY</t>
  </si>
  <si>
    <t>SGL-BUNG</t>
  </si>
  <si>
    <t>56-72</t>
  </si>
  <si>
    <t>56-60</t>
  </si>
  <si>
    <t>45-48</t>
  </si>
  <si>
    <t>75-81</t>
  </si>
  <si>
    <t>70-68</t>
  </si>
  <si>
    <t>84-93</t>
  </si>
  <si>
    <t>SGL+CH</t>
  </si>
  <si>
    <t xml:space="preserve">DBLCH-BUNG </t>
  </si>
  <si>
    <t>SGL(CH)-BUNG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</si>
</sst>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4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b/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rgb="FF92D050"/>
      </patternFill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3" fillId="4" borderId="1" xfId="0" applyFont="1" applyFill="1" applyBorder="1" applyAlignment="1">
      <alignment horizontal="center" vertical="center"/>
    </xf>
    <xf numFmtId="0" fontId="9" fillId="3" borderId="3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0" fillId="0" borderId="0" xfId="0" applyFill="1"/>
    <xf numFmtId="14" fontId="10" fillId="4" borderId="4" xfId="0" applyNumberFormat="1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/>
    </xf>
    <xf numFmtId="0" fontId="0" fillId="5" borderId="0" xfId="0" applyFill="1"/>
    <xf numFmtId="1" fontId="10" fillId="4" borderId="2" xfId="0" applyNumberFormat="1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165" fontId="11" fillId="4" borderId="2" xfId="0" applyNumberFormat="1" applyFont="1" applyFill="1" applyBorder="1" applyAlignment="1">
      <alignment horizontal="center" vertical="center"/>
    </xf>
    <xf numFmtId="3" fontId="10" fillId="4" borderId="2" xfId="1" applyNumberFormat="1" applyFont="1" applyFill="1" applyBorder="1" applyAlignment="1">
      <alignment horizontal="center"/>
    </xf>
    <xf numFmtId="164" fontId="10" fillId="4" borderId="5" xfId="1" applyFont="1" applyFill="1" applyBorder="1" applyAlignment="1">
      <alignment horizontal="right" vertical="center"/>
    </xf>
    <xf numFmtId="164" fontId="10" fillId="4" borderId="5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0" fillId="2" borderId="0" xfId="0" applyFill="1"/>
    <xf numFmtId="0" fontId="12" fillId="0" borderId="1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/>
    <xf numFmtId="14" fontId="10" fillId="6" borderId="2" xfId="0" applyNumberFormat="1" applyFont="1" applyFill="1" applyBorder="1" applyAlignment="1">
      <alignment horizontal="center"/>
    </xf>
    <xf numFmtId="14" fontId="10" fillId="0" borderId="6" xfId="0" applyNumberFormat="1" applyFont="1" applyFill="1" applyBorder="1" applyAlignment="1">
      <alignment horizontal="center"/>
    </xf>
    <xf numFmtId="14" fontId="10" fillId="4" borderId="2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/>
    <xf numFmtId="14" fontId="7" fillId="0" borderId="7" xfId="0" applyNumberFormat="1" applyFont="1" applyBorder="1"/>
    <xf numFmtId="0" fontId="7" fillId="3" borderId="7" xfId="0" applyNumberFormat="1" applyFont="1" applyFill="1" applyBorder="1" applyAlignment="1">
      <alignment horizontal="center"/>
    </xf>
    <xf numFmtId="0" fontId="7" fillId="7" borderId="7" xfId="0" applyNumberFormat="1" applyFont="1" applyFill="1" applyBorder="1" applyAlignment="1">
      <alignment horizontal="center"/>
    </xf>
    <xf numFmtId="0" fontId="7" fillId="0" borderId="0" xfId="0" applyNumberFormat="1" applyFont="1" applyBorder="1"/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219075</xdr:colOff>
      <xdr:row>2</xdr:row>
      <xdr:rowOff>28575</xdr:rowOff>
    </xdr:from>
    <xdr:to>
      <xdr:col>16</xdr:col>
      <xdr:colOff>66675</xdr:colOff>
      <xdr:row>16</xdr:row>
      <xdr:rowOff>9525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10575" y="657225"/>
          <a:ext cx="3505200" cy="24193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15</xdr:col>
      <xdr:colOff>257669</xdr:colOff>
      <xdr:row>40</xdr:row>
      <xdr:rowOff>105174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2300" y="4200525"/>
          <a:ext cx="3534269" cy="2857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38100</xdr:rowOff>
    </xdr:from>
    <xdr:to>
      <xdr:col>23</xdr:col>
      <xdr:colOff>163954</xdr:colOff>
      <xdr:row>31</xdr:row>
      <xdr:rowOff>152846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905125"/>
          <a:ext cx="14527654" cy="31913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Biblio%20-Dec/Copy%20of%20biblio%20-DEC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31.12/Copy%20of%20EXIM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24"/>
      <sheetName val="ROOM TYPE"/>
      <sheetName val="system"/>
      <sheetName val="Summary 1"/>
      <sheetName val="Summary 2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B1" workbookViewId="0">
      <selection activeCell="J2" sqref="J2"/>
    </sheetView>
  </sheetViews>
  <sheetFormatPr defaultRowHeight="13.2"/>
  <cols>
    <col min="1" max="1" width="20.6640625" customWidth="1"/>
    <col min="2" max="2" width="24.33203125" bestFit="1" customWidth="1"/>
    <col min="3" max="3" width="20.6640625" customWidth="1"/>
    <col min="4" max="4" width="18.44140625" customWidth="1"/>
    <col min="5" max="6" width="20.6640625" customWidth="1"/>
    <col min="7" max="7" width="24" bestFit="1" customWidth="1"/>
    <col min="8" max="10" width="20.6640625" customWidth="1"/>
  </cols>
  <sheetData>
    <row r="1" spans="1:10" ht="18.600000000000001" thickTop="1" thickBot="1">
      <c r="B1" s="3" t="s">
        <v>9</v>
      </c>
      <c r="C1" s="3" t="s">
        <v>10</v>
      </c>
      <c r="D1" s="2" t="s">
        <v>8</v>
      </c>
      <c r="E1" s="1" t="s">
        <v>1</v>
      </c>
      <c r="F1" s="1" t="s">
        <v>2</v>
      </c>
      <c r="G1" s="1" t="s">
        <v>3</v>
      </c>
      <c r="H1" s="3" t="s">
        <v>0</v>
      </c>
      <c r="I1" s="3" t="s">
        <v>7</v>
      </c>
      <c r="J1" s="1" t="s">
        <v>4</v>
      </c>
    </row>
    <row r="2" spans="1:10" s="6" customFormat="1" ht="16.8" thickTop="1" thickBot="1">
      <c r="A2" s="5"/>
      <c r="B2" s="10">
        <v>116375165157</v>
      </c>
      <c r="C2" s="11">
        <v>17175</v>
      </c>
      <c r="D2" s="12">
        <v>45706</v>
      </c>
      <c r="E2" s="8">
        <v>45711</v>
      </c>
      <c r="F2" s="8">
        <v>45719</v>
      </c>
      <c r="G2" s="20" t="s">
        <v>16</v>
      </c>
      <c r="H2" s="13">
        <f t="shared" ref="H2:H65" si="0">+F2-E2</f>
        <v>8</v>
      </c>
      <c r="I2" s="14">
        <v>56</v>
      </c>
      <c r="J2" s="15">
        <f>6*44.8+(2*56)</f>
        <v>380.79999999999995</v>
      </c>
    </row>
    <row r="3" spans="1:10" s="6" customFormat="1" ht="16.8" thickTop="1" thickBot="1">
      <c r="A3" s="5"/>
      <c r="B3" s="10">
        <v>116385165288</v>
      </c>
      <c r="C3" s="16">
        <v>17228</v>
      </c>
      <c r="D3" s="12">
        <v>45702</v>
      </c>
      <c r="E3" s="8">
        <v>45708</v>
      </c>
      <c r="F3" s="8">
        <v>45717</v>
      </c>
      <c r="G3" s="8" t="s">
        <v>13</v>
      </c>
      <c r="H3" s="13">
        <f t="shared" si="0"/>
        <v>9</v>
      </c>
      <c r="I3" s="14">
        <v>56</v>
      </c>
      <c r="J3" s="15">
        <f t="shared" ref="J2:J65" si="1">+I3*H3</f>
        <v>504</v>
      </c>
    </row>
    <row r="4" spans="1:10" ht="16.8" thickTop="1" thickBot="1">
      <c r="B4" s="10">
        <v>116365155980</v>
      </c>
      <c r="C4" s="16">
        <v>17275</v>
      </c>
      <c r="D4" s="12">
        <v>45688</v>
      </c>
      <c r="E4" s="8">
        <v>45710</v>
      </c>
      <c r="F4" s="8">
        <v>45718</v>
      </c>
      <c r="G4" s="8" t="s">
        <v>13</v>
      </c>
      <c r="H4" s="13">
        <f t="shared" si="0"/>
        <v>8</v>
      </c>
      <c r="I4" s="14" t="s">
        <v>19</v>
      </c>
      <c r="J4" s="15">
        <f>56*7+72</f>
        <v>464</v>
      </c>
    </row>
    <row r="5" spans="1:10" s="9" customFormat="1" ht="16.8" thickTop="1" thickBot="1">
      <c r="B5" s="10">
        <v>116345162726</v>
      </c>
      <c r="C5" s="16">
        <v>17276</v>
      </c>
      <c r="D5" s="12">
        <v>45699</v>
      </c>
      <c r="E5" s="8">
        <v>45709</v>
      </c>
      <c r="F5" s="8">
        <v>45718</v>
      </c>
      <c r="G5" s="8" t="s">
        <v>13</v>
      </c>
      <c r="H5" s="13">
        <f t="shared" si="0"/>
        <v>9</v>
      </c>
      <c r="I5" s="14" t="s">
        <v>20</v>
      </c>
      <c r="J5" s="15">
        <f>56*8+60</f>
        <v>508</v>
      </c>
    </row>
    <row r="6" spans="1:10" s="9" customFormat="1" ht="16.8" thickTop="1" thickBot="1">
      <c r="B6" s="10">
        <v>116345162726</v>
      </c>
      <c r="C6" s="16">
        <v>17277</v>
      </c>
      <c r="D6" s="12">
        <v>45699</v>
      </c>
      <c r="E6" s="8">
        <v>45709</v>
      </c>
      <c r="F6" s="8">
        <v>45718</v>
      </c>
      <c r="G6" s="8" t="s">
        <v>13</v>
      </c>
      <c r="H6" s="13">
        <f t="shared" si="0"/>
        <v>9</v>
      </c>
      <c r="I6" s="14" t="s">
        <v>20</v>
      </c>
      <c r="J6" s="15">
        <f>56*8+60</f>
        <v>508</v>
      </c>
    </row>
    <row r="7" spans="1:10" s="9" customFormat="1" ht="16.8" thickTop="1" thickBot="1">
      <c r="B7" s="10">
        <v>116345162726</v>
      </c>
      <c r="C7" s="16">
        <v>17278</v>
      </c>
      <c r="D7" s="12">
        <v>45699</v>
      </c>
      <c r="E7" s="8">
        <v>45709</v>
      </c>
      <c r="F7" s="8">
        <v>45718</v>
      </c>
      <c r="G7" s="8" t="s">
        <v>12</v>
      </c>
      <c r="H7" s="13">
        <f t="shared" si="0"/>
        <v>9</v>
      </c>
      <c r="I7" s="14" t="s">
        <v>24</v>
      </c>
      <c r="J7" s="15">
        <f>84*8+93</f>
        <v>765</v>
      </c>
    </row>
    <row r="8" spans="1:10" s="9" customFormat="1" ht="16.8" thickTop="1" thickBot="1">
      <c r="B8" s="10">
        <v>116345162726</v>
      </c>
      <c r="C8" s="16">
        <v>17279</v>
      </c>
      <c r="D8" s="12">
        <v>45699</v>
      </c>
      <c r="E8" s="8">
        <v>45709</v>
      </c>
      <c r="F8" s="8">
        <v>45718</v>
      </c>
      <c r="G8" s="8" t="s">
        <v>15</v>
      </c>
      <c r="H8" s="13">
        <f t="shared" si="0"/>
        <v>9</v>
      </c>
      <c r="I8" s="14" t="s">
        <v>21</v>
      </c>
      <c r="J8" s="15">
        <f>45*8+48</f>
        <v>408</v>
      </c>
    </row>
    <row r="9" spans="1:10" s="9" customFormat="1" ht="16.8" thickTop="1" thickBot="1">
      <c r="B9" s="10">
        <v>116345167653</v>
      </c>
      <c r="C9" s="16">
        <v>17280</v>
      </c>
      <c r="D9" s="12">
        <v>45709</v>
      </c>
      <c r="E9" s="8">
        <v>45709</v>
      </c>
      <c r="F9" s="8">
        <v>45718</v>
      </c>
      <c r="G9" s="8" t="s">
        <v>13</v>
      </c>
      <c r="H9" s="13">
        <f t="shared" si="0"/>
        <v>9</v>
      </c>
      <c r="I9" s="14" t="s">
        <v>20</v>
      </c>
      <c r="J9" s="15">
        <f>56*8+60</f>
        <v>508</v>
      </c>
    </row>
    <row r="10" spans="1:10" s="9" customFormat="1" ht="16.8" thickTop="1" thickBot="1">
      <c r="B10" s="10">
        <v>116325167804</v>
      </c>
      <c r="C10" s="16">
        <v>17281</v>
      </c>
      <c r="D10" s="12">
        <v>45710</v>
      </c>
      <c r="E10" s="8">
        <v>45711</v>
      </c>
      <c r="F10" s="8">
        <v>45718</v>
      </c>
      <c r="G10" s="8" t="s">
        <v>14</v>
      </c>
      <c r="H10" s="13">
        <f t="shared" si="0"/>
        <v>7</v>
      </c>
      <c r="I10" s="14" t="s">
        <v>22</v>
      </c>
      <c r="J10" s="15">
        <f>75*6+81</f>
        <v>531</v>
      </c>
    </row>
    <row r="11" spans="1:10" s="9" customFormat="1" ht="16.8" thickTop="1" thickBot="1">
      <c r="B11" s="10">
        <v>116395167108</v>
      </c>
      <c r="C11" s="16">
        <v>17282</v>
      </c>
      <c r="D11" s="12">
        <v>45711</v>
      </c>
      <c r="E11" s="8">
        <v>45711</v>
      </c>
      <c r="F11" s="8">
        <v>45718</v>
      </c>
      <c r="G11" s="8" t="s">
        <v>16</v>
      </c>
      <c r="H11" s="13">
        <f t="shared" si="0"/>
        <v>7</v>
      </c>
      <c r="I11" s="14" t="s">
        <v>23</v>
      </c>
      <c r="J11" s="15">
        <f>70*6+68</f>
        <v>488</v>
      </c>
    </row>
    <row r="12" spans="1:10" s="9" customFormat="1" ht="16.8" thickTop="1" thickBot="1">
      <c r="B12" s="10">
        <v>116385150277</v>
      </c>
      <c r="C12" s="16">
        <v>17317</v>
      </c>
      <c r="D12" s="12">
        <v>45632</v>
      </c>
      <c r="E12" s="8">
        <v>45705</v>
      </c>
      <c r="F12" s="8">
        <v>45719</v>
      </c>
      <c r="G12" s="8" t="s">
        <v>13</v>
      </c>
      <c r="H12" s="13">
        <f t="shared" si="0"/>
        <v>14</v>
      </c>
      <c r="I12" s="14" t="s">
        <v>19</v>
      </c>
      <c r="J12" s="15">
        <f>56*12+72*2</f>
        <v>816</v>
      </c>
    </row>
    <row r="13" spans="1:10" s="9" customFormat="1" ht="16.8" thickTop="1" thickBot="1">
      <c r="B13" s="10">
        <v>116365163053</v>
      </c>
      <c r="C13" s="16">
        <v>17318</v>
      </c>
      <c r="D13" s="12">
        <v>45699</v>
      </c>
      <c r="E13" s="8">
        <v>45710</v>
      </c>
      <c r="F13" s="8">
        <v>45719</v>
      </c>
      <c r="G13" s="8" t="s">
        <v>13</v>
      </c>
      <c r="H13" s="13">
        <f t="shared" si="0"/>
        <v>9</v>
      </c>
      <c r="I13" s="14" t="s">
        <v>20</v>
      </c>
      <c r="J13" s="15">
        <f>56*7+60*2</f>
        <v>512</v>
      </c>
    </row>
    <row r="14" spans="1:10" s="9" customFormat="1" ht="16.8" thickTop="1" thickBot="1">
      <c r="B14" s="10">
        <v>116365166955</v>
      </c>
      <c r="C14" s="16">
        <v>17319</v>
      </c>
      <c r="D14" s="12">
        <v>45710</v>
      </c>
      <c r="E14" s="8">
        <v>45713</v>
      </c>
      <c r="F14" s="8">
        <v>45719</v>
      </c>
      <c r="G14" s="8" t="s">
        <v>13</v>
      </c>
      <c r="H14" s="13">
        <f t="shared" si="0"/>
        <v>6</v>
      </c>
      <c r="I14" s="14" t="s">
        <v>20</v>
      </c>
      <c r="J14" s="15">
        <f>56*4+60*2</f>
        <v>344</v>
      </c>
    </row>
    <row r="15" spans="1:10" s="9" customFormat="1" ht="16.8" thickTop="1" thickBot="1">
      <c r="B15" s="10">
        <v>116395168693</v>
      </c>
      <c r="C15" s="16">
        <v>17323</v>
      </c>
      <c r="D15" s="12">
        <v>45712</v>
      </c>
      <c r="E15" s="8">
        <v>45713</v>
      </c>
      <c r="F15" s="8">
        <v>45720</v>
      </c>
      <c r="G15" s="8" t="s">
        <v>16</v>
      </c>
      <c r="H15" s="13">
        <f t="shared" si="0"/>
        <v>7</v>
      </c>
      <c r="I15" s="14" t="s">
        <v>23</v>
      </c>
      <c r="J15" s="15">
        <f>70*4+68*3</f>
        <v>484</v>
      </c>
    </row>
    <row r="16" spans="1:10" s="9" customFormat="1" ht="16.8" thickTop="1" thickBot="1">
      <c r="B16" s="10">
        <v>116315164451</v>
      </c>
      <c r="C16" s="16">
        <v>17324</v>
      </c>
      <c r="D16" s="12">
        <v>45707</v>
      </c>
      <c r="E16" s="8">
        <v>45713</v>
      </c>
      <c r="F16" s="8">
        <v>45720</v>
      </c>
      <c r="G16" s="8" t="s">
        <v>13</v>
      </c>
      <c r="H16" s="13">
        <f t="shared" si="0"/>
        <v>7</v>
      </c>
      <c r="I16" s="14" t="s">
        <v>20</v>
      </c>
      <c r="J16" s="15">
        <f>56*4+60*3</f>
        <v>404</v>
      </c>
    </row>
    <row r="17" spans="2:10" s="9" customFormat="1" ht="16.8" thickTop="1" thickBot="1">
      <c r="B17" s="10">
        <v>115375151030</v>
      </c>
      <c r="C17" s="16">
        <v>17325</v>
      </c>
      <c r="D17" s="12">
        <v>45707</v>
      </c>
      <c r="E17" s="8">
        <v>45710</v>
      </c>
      <c r="F17" s="8">
        <v>45720</v>
      </c>
      <c r="G17" s="8" t="s">
        <v>13</v>
      </c>
      <c r="H17" s="13">
        <f t="shared" si="0"/>
        <v>10</v>
      </c>
      <c r="I17" s="14" t="s">
        <v>20</v>
      </c>
      <c r="J17" s="15">
        <f>56*7+60*3</f>
        <v>572</v>
      </c>
    </row>
    <row r="18" spans="2:10" s="9" customFormat="1" ht="16.8" thickTop="1" thickBot="1">
      <c r="B18" s="10">
        <v>116345165987</v>
      </c>
      <c r="C18" s="16">
        <v>17326</v>
      </c>
      <c r="D18" s="12">
        <v>45709</v>
      </c>
      <c r="E18" s="8">
        <v>45710</v>
      </c>
      <c r="F18" s="8">
        <v>45720</v>
      </c>
      <c r="G18" s="8" t="s">
        <v>15</v>
      </c>
      <c r="H18" s="13">
        <f t="shared" si="0"/>
        <v>10</v>
      </c>
      <c r="I18" s="14" t="s">
        <v>21</v>
      </c>
      <c r="J18" s="15">
        <f>45*7+48*3</f>
        <v>459</v>
      </c>
    </row>
    <row r="19" spans="2:10" s="9" customFormat="1" ht="16.8" thickTop="1" thickBot="1">
      <c r="B19" s="10">
        <v>116355153763</v>
      </c>
      <c r="C19" s="16">
        <v>17327</v>
      </c>
      <c r="D19" s="12">
        <v>45684</v>
      </c>
      <c r="E19" s="8">
        <v>45710</v>
      </c>
      <c r="F19" s="8">
        <v>45720</v>
      </c>
      <c r="G19" s="8" t="s">
        <v>13</v>
      </c>
      <c r="H19" s="13">
        <f t="shared" si="0"/>
        <v>10</v>
      </c>
      <c r="I19" s="14" t="s">
        <v>19</v>
      </c>
      <c r="J19" s="15">
        <f>56*7+72*3</f>
        <v>608</v>
      </c>
    </row>
    <row r="20" spans="2:10" s="9" customFormat="1" ht="16.8" thickTop="1" thickBot="1">
      <c r="B20" s="10">
        <v>116305162968</v>
      </c>
      <c r="C20" s="16">
        <v>17328</v>
      </c>
      <c r="D20" s="12">
        <v>45701</v>
      </c>
      <c r="E20" s="8">
        <v>45710</v>
      </c>
      <c r="F20" s="8">
        <v>45720</v>
      </c>
      <c r="G20" s="8" t="s">
        <v>13</v>
      </c>
      <c r="H20" s="13">
        <f t="shared" si="0"/>
        <v>10</v>
      </c>
      <c r="I20" s="14" t="s">
        <v>20</v>
      </c>
      <c r="J20" s="15">
        <f>56*7+60*3</f>
        <v>572</v>
      </c>
    </row>
    <row r="21" spans="2:10" ht="16.8" thickTop="1" thickBot="1">
      <c r="B21" s="10">
        <v>116325164919</v>
      </c>
      <c r="C21" s="16">
        <v>17329</v>
      </c>
      <c r="D21" s="12">
        <v>45707</v>
      </c>
      <c r="E21" s="8">
        <v>45713</v>
      </c>
      <c r="F21" s="8">
        <v>45720</v>
      </c>
      <c r="G21" s="8" t="s">
        <v>13</v>
      </c>
      <c r="H21" s="13">
        <f t="shared" si="0"/>
        <v>7</v>
      </c>
      <c r="I21" s="14" t="s">
        <v>20</v>
      </c>
      <c r="J21" s="15">
        <f>56*4+60*3</f>
        <v>404</v>
      </c>
    </row>
    <row r="22" spans="2:10" ht="16.8" thickTop="1" thickBot="1">
      <c r="B22" s="10">
        <v>116345167776</v>
      </c>
      <c r="C22" s="16">
        <v>17330</v>
      </c>
      <c r="D22" s="12">
        <v>45711</v>
      </c>
      <c r="E22" s="8">
        <v>45713</v>
      </c>
      <c r="F22" s="8">
        <v>45720</v>
      </c>
      <c r="G22" s="8" t="s">
        <v>16</v>
      </c>
      <c r="H22" s="13">
        <f t="shared" si="0"/>
        <v>7</v>
      </c>
      <c r="I22" s="14" t="s">
        <v>23</v>
      </c>
      <c r="J22" s="15">
        <f>70*4+68*3</f>
        <v>484</v>
      </c>
    </row>
    <row r="23" spans="2:10" ht="16.8" thickTop="1" thickBot="1">
      <c r="B23" s="10">
        <v>116305165532</v>
      </c>
      <c r="C23" s="16">
        <v>17351</v>
      </c>
      <c r="D23" s="12">
        <v>45708</v>
      </c>
      <c r="E23" s="8">
        <v>45711</v>
      </c>
      <c r="F23" s="8">
        <v>45721</v>
      </c>
      <c r="G23" s="8" t="s">
        <v>13</v>
      </c>
      <c r="H23" s="13">
        <f t="shared" si="0"/>
        <v>10</v>
      </c>
      <c r="I23" s="14" t="s">
        <v>20</v>
      </c>
      <c r="J23" s="15">
        <f>56*6+60*4</f>
        <v>576</v>
      </c>
    </row>
    <row r="24" spans="2:10" ht="16.8" thickTop="1" thickBot="1">
      <c r="B24" s="10">
        <v>116325168474</v>
      </c>
      <c r="C24" s="16">
        <v>17352</v>
      </c>
      <c r="D24" s="12">
        <v>45712</v>
      </c>
      <c r="E24" s="8">
        <v>45715</v>
      </c>
      <c r="F24" s="8">
        <v>45721</v>
      </c>
      <c r="G24" s="8" t="s">
        <v>16</v>
      </c>
      <c r="H24" s="13">
        <f t="shared" si="0"/>
        <v>6</v>
      </c>
      <c r="I24" s="14" t="s">
        <v>23</v>
      </c>
      <c r="J24" s="15">
        <f>70*2+68*4</f>
        <v>412</v>
      </c>
    </row>
    <row r="25" spans="2:10" ht="16.8" thickTop="1" thickBot="1">
      <c r="B25" s="10">
        <v>116365161936</v>
      </c>
      <c r="C25" s="16">
        <v>17353</v>
      </c>
      <c r="D25" s="12">
        <v>45708</v>
      </c>
      <c r="E25" s="8">
        <v>45715</v>
      </c>
      <c r="F25" s="8">
        <v>45721</v>
      </c>
      <c r="G25" s="8" t="s">
        <v>13</v>
      </c>
      <c r="H25" s="13">
        <f t="shared" si="0"/>
        <v>6</v>
      </c>
      <c r="I25" s="14" t="s">
        <v>20</v>
      </c>
      <c r="J25" s="15">
        <f>56*2+60*4</f>
        <v>352</v>
      </c>
    </row>
    <row r="26" spans="2:10" s="17" customFormat="1" ht="16.8" thickTop="1" thickBot="1">
      <c r="B26" s="10">
        <v>116355161461</v>
      </c>
      <c r="C26" s="16">
        <v>17354</v>
      </c>
      <c r="D26" s="12">
        <v>45696</v>
      </c>
      <c r="E26" s="8">
        <v>45715</v>
      </c>
      <c r="F26" s="8">
        <v>45721</v>
      </c>
      <c r="G26" s="8" t="s">
        <v>15</v>
      </c>
      <c r="H26" s="13">
        <f t="shared" si="0"/>
        <v>6</v>
      </c>
      <c r="I26" s="14" t="s">
        <v>21</v>
      </c>
      <c r="J26" s="15">
        <f>45*2+48*4</f>
        <v>282</v>
      </c>
    </row>
    <row r="27" spans="2:10" s="17" customFormat="1" ht="16.8" thickTop="1" thickBot="1">
      <c r="B27" s="10">
        <v>116355166206</v>
      </c>
      <c r="C27" s="16">
        <v>17355</v>
      </c>
      <c r="D27" s="12">
        <v>45708</v>
      </c>
      <c r="E27" s="8">
        <v>45714</v>
      </c>
      <c r="F27" s="8">
        <v>45721</v>
      </c>
      <c r="G27" s="8" t="s">
        <v>13</v>
      </c>
      <c r="H27" s="13">
        <f t="shared" si="0"/>
        <v>7</v>
      </c>
      <c r="I27" s="14" t="s">
        <v>20</v>
      </c>
      <c r="J27" s="15">
        <f>56*3+60*4</f>
        <v>408</v>
      </c>
    </row>
    <row r="28" spans="2:10" s="17" customFormat="1" ht="16.8" thickTop="1" thickBot="1">
      <c r="B28" s="10">
        <v>116305164146</v>
      </c>
      <c r="C28" s="16">
        <v>17356</v>
      </c>
      <c r="D28" s="12">
        <v>45707</v>
      </c>
      <c r="E28" s="8">
        <v>45713</v>
      </c>
      <c r="F28" s="8">
        <v>45721</v>
      </c>
      <c r="G28" s="8" t="s">
        <v>13</v>
      </c>
      <c r="H28" s="13">
        <f t="shared" si="0"/>
        <v>8</v>
      </c>
      <c r="I28" s="14" t="s">
        <v>20</v>
      </c>
      <c r="J28" s="15">
        <f>56*4+60*4</f>
        <v>464</v>
      </c>
    </row>
    <row r="29" spans="2:10" s="17" customFormat="1" ht="16.8" thickTop="1" thickBot="1">
      <c r="B29" s="10">
        <v>116385163703</v>
      </c>
      <c r="C29" s="16">
        <v>17383</v>
      </c>
      <c r="D29" s="12">
        <v>45706</v>
      </c>
      <c r="E29" s="8">
        <v>45709</v>
      </c>
      <c r="F29" s="8">
        <v>45722</v>
      </c>
      <c r="G29" s="8" t="s">
        <v>13</v>
      </c>
      <c r="H29" s="13">
        <f t="shared" si="0"/>
        <v>13</v>
      </c>
      <c r="I29" s="14" t="s">
        <v>20</v>
      </c>
      <c r="J29" s="15">
        <f>56*8+60*5</f>
        <v>748</v>
      </c>
    </row>
    <row r="30" spans="2:10" s="17" customFormat="1" ht="16.8" thickTop="1" thickBot="1">
      <c r="B30" s="10">
        <v>116355166725</v>
      </c>
      <c r="C30" s="16">
        <v>17384</v>
      </c>
      <c r="D30" s="12">
        <v>45710</v>
      </c>
      <c r="E30" s="8">
        <v>45713</v>
      </c>
      <c r="F30" s="8">
        <v>45722</v>
      </c>
      <c r="G30" s="8" t="s">
        <v>13</v>
      </c>
      <c r="H30" s="13">
        <f t="shared" si="0"/>
        <v>9</v>
      </c>
      <c r="I30" s="14" t="s">
        <v>20</v>
      </c>
      <c r="J30" s="15">
        <f>56*4+60*5</f>
        <v>524</v>
      </c>
    </row>
    <row r="31" spans="2:10" ht="16.8" thickTop="1" thickBot="1">
      <c r="B31" s="10">
        <v>116345162788</v>
      </c>
      <c r="C31" s="16">
        <v>17385</v>
      </c>
      <c r="D31" s="12">
        <v>45707</v>
      </c>
      <c r="E31" s="8">
        <v>45712</v>
      </c>
      <c r="F31" s="8">
        <v>45722</v>
      </c>
      <c r="G31" s="8" t="s">
        <v>13</v>
      </c>
      <c r="H31" s="13">
        <f t="shared" si="0"/>
        <v>10</v>
      </c>
      <c r="I31" s="14" t="s">
        <v>20</v>
      </c>
      <c r="J31" s="15">
        <f>56*5+60*5</f>
        <v>580</v>
      </c>
    </row>
    <row r="32" spans="2:10" ht="16.8" thickTop="1" thickBot="1">
      <c r="B32" s="10">
        <v>116355167272</v>
      </c>
      <c r="C32" s="16">
        <v>17386</v>
      </c>
      <c r="D32" s="12">
        <v>45709</v>
      </c>
      <c r="E32" s="8">
        <v>45711</v>
      </c>
      <c r="F32" s="8">
        <v>45722</v>
      </c>
      <c r="G32" s="8" t="s">
        <v>13</v>
      </c>
      <c r="H32" s="13">
        <f t="shared" si="0"/>
        <v>11</v>
      </c>
      <c r="I32" s="14" t="s">
        <v>20</v>
      </c>
      <c r="J32" s="15">
        <f>56*6+60*5</f>
        <v>636</v>
      </c>
    </row>
    <row r="33" spans="2:10" ht="16.8" thickTop="1" thickBot="1">
      <c r="B33" s="10">
        <v>116365165156</v>
      </c>
      <c r="C33" s="16">
        <v>17387</v>
      </c>
      <c r="D33" s="12">
        <v>45706</v>
      </c>
      <c r="E33" s="8">
        <v>45711</v>
      </c>
      <c r="F33" s="8">
        <v>45722</v>
      </c>
      <c r="G33" s="8" t="s">
        <v>13</v>
      </c>
      <c r="H33" s="13">
        <f t="shared" si="0"/>
        <v>11</v>
      </c>
      <c r="I33" s="14" t="s">
        <v>20</v>
      </c>
      <c r="J33" s="15">
        <f>56*6+60*5</f>
        <v>636</v>
      </c>
    </row>
    <row r="34" spans="2:10" ht="16.8" thickTop="1" thickBot="1">
      <c r="B34" s="10">
        <v>115395150608</v>
      </c>
      <c r="C34" s="16">
        <v>17388</v>
      </c>
      <c r="D34" s="12">
        <v>45708</v>
      </c>
      <c r="E34" s="8">
        <v>45715</v>
      </c>
      <c r="F34" s="8">
        <v>45722</v>
      </c>
      <c r="G34" s="8" t="s">
        <v>13</v>
      </c>
      <c r="H34" s="13">
        <f t="shared" si="0"/>
        <v>7</v>
      </c>
      <c r="I34" s="14" t="s">
        <v>20</v>
      </c>
      <c r="J34" s="15">
        <f>56*2+60*5</f>
        <v>412</v>
      </c>
    </row>
    <row r="35" spans="2:10" ht="16.8" thickTop="1" thickBot="1">
      <c r="B35" s="10">
        <v>116365167273</v>
      </c>
      <c r="C35" s="16">
        <v>17389</v>
      </c>
      <c r="D35" s="12">
        <v>45708</v>
      </c>
      <c r="E35" s="8">
        <v>45715</v>
      </c>
      <c r="F35" s="8">
        <v>45722</v>
      </c>
      <c r="G35" s="8" t="s">
        <v>13</v>
      </c>
      <c r="H35" s="13">
        <f t="shared" si="0"/>
        <v>7</v>
      </c>
      <c r="I35" s="14" t="s">
        <v>20</v>
      </c>
      <c r="J35" s="15">
        <f>56*2+60*5</f>
        <v>412</v>
      </c>
    </row>
    <row r="36" spans="2:10" ht="16.8" thickTop="1" thickBot="1">
      <c r="B36" s="10">
        <v>116355167951</v>
      </c>
      <c r="C36" s="16">
        <v>17390</v>
      </c>
      <c r="D36" s="12">
        <v>45712</v>
      </c>
      <c r="E36" s="8">
        <v>45715</v>
      </c>
      <c r="F36" s="8">
        <v>45722</v>
      </c>
      <c r="G36" s="8" t="s">
        <v>16</v>
      </c>
      <c r="H36" s="13">
        <f t="shared" si="0"/>
        <v>7</v>
      </c>
      <c r="I36" s="14" t="s">
        <v>23</v>
      </c>
      <c r="J36" s="15">
        <f>70*2+68*5</f>
        <v>480</v>
      </c>
    </row>
    <row r="37" spans="2:10" ht="16.8" thickTop="1" thickBot="1">
      <c r="B37" s="10">
        <v>116375167984</v>
      </c>
      <c r="C37" s="16">
        <v>17417</v>
      </c>
      <c r="D37" s="12">
        <v>45712</v>
      </c>
      <c r="E37" s="8">
        <v>45714</v>
      </c>
      <c r="F37" s="8">
        <v>45723</v>
      </c>
      <c r="G37" s="8" t="s">
        <v>16</v>
      </c>
      <c r="H37" s="13">
        <f t="shared" si="0"/>
        <v>9</v>
      </c>
      <c r="I37" s="14" t="s">
        <v>23</v>
      </c>
      <c r="J37" s="15">
        <f>70*3+68*6</f>
        <v>618</v>
      </c>
    </row>
    <row r="38" spans="2:10" ht="16.8" thickTop="1" thickBot="1">
      <c r="B38" s="10">
        <v>116375167984</v>
      </c>
      <c r="C38" s="16">
        <v>17418</v>
      </c>
      <c r="D38" s="12">
        <v>45712</v>
      </c>
      <c r="E38" s="8">
        <v>45714</v>
      </c>
      <c r="F38" s="8">
        <v>45723</v>
      </c>
      <c r="G38" s="8" t="s">
        <v>16</v>
      </c>
      <c r="H38" s="13">
        <f t="shared" si="0"/>
        <v>9</v>
      </c>
      <c r="I38" s="14" t="s">
        <v>23</v>
      </c>
      <c r="J38" s="15">
        <f>70*3+68*6</f>
        <v>618</v>
      </c>
    </row>
    <row r="39" spans="2:10" ht="16.8" thickTop="1" thickBot="1">
      <c r="B39" s="10">
        <v>115335200123</v>
      </c>
      <c r="C39" s="16">
        <v>17459</v>
      </c>
      <c r="D39" s="12">
        <v>45656</v>
      </c>
      <c r="E39" s="8">
        <v>45717</v>
      </c>
      <c r="F39" s="8">
        <v>45724</v>
      </c>
      <c r="G39" s="8" t="s">
        <v>13</v>
      </c>
      <c r="H39" s="13">
        <f t="shared" si="0"/>
        <v>7</v>
      </c>
      <c r="I39" s="14">
        <f>36*2</f>
        <v>72</v>
      </c>
      <c r="J39" s="15">
        <f t="shared" si="1"/>
        <v>504</v>
      </c>
    </row>
    <row r="40" spans="2:10" ht="16.8" thickTop="1" thickBot="1">
      <c r="B40" s="10">
        <v>116345212230</v>
      </c>
      <c r="C40" s="16">
        <v>17460</v>
      </c>
      <c r="D40" s="12">
        <v>45720</v>
      </c>
      <c r="E40" s="8">
        <v>45720</v>
      </c>
      <c r="F40" s="8">
        <v>45724</v>
      </c>
      <c r="G40" s="8" t="s">
        <v>18</v>
      </c>
      <c r="H40" s="13">
        <f t="shared" si="0"/>
        <v>4</v>
      </c>
      <c r="I40" s="14">
        <f>48+4</f>
        <v>52</v>
      </c>
      <c r="J40" s="15">
        <f t="shared" si="1"/>
        <v>208</v>
      </c>
    </row>
    <row r="41" spans="2:10" ht="16.8" thickTop="1" thickBot="1">
      <c r="B41" s="10">
        <v>116365207931</v>
      </c>
      <c r="C41" s="16">
        <v>17461</v>
      </c>
      <c r="D41" s="12">
        <v>45713</v>
      </c>
      <c r="E41" s="8">
        <v>45718</v>
      </c>
      <c r="F41" s="8">
        <v>45724</v>
      </c>
      <c r="G41" s="8" t="s">
        <v>16</v>
      </c>
      <c r="H41" s="13">
        <f t="shared" si="0"/>
        <v>6</v>
      </c>
      <c r="I41" s="14">
        <v>68</v>
      </c>
      <c r="J41" s="15">
        <f t="shared" si="1"/>
        <v>408</v>
      </c>
    </row>
    <row r="42" spans="2:10" ht="16.8" thickTop="1" thickBot="1">
      <c r="B42" s="10">
        <v>116365207931</v>
      </c>
      <c r="C42" s="16">
        <v>17462</v>
      </c>
      <c r="D42" s="12">
        <v>45713</v>
      </c>
      <c r="E42" s="8">
        <v>45718</v>
      </c>
      <c r="F42" s="8">
        <v>45724</v>
      </c>
      <c r="G42" s="8" t="s">
        <v>16</v>
      </c>
      <c r="H42" s="13">
        <f t="shared" si="0"/>
        <v>6</v>
      </c>
      <c r="I42" s="14">
        <v>68</v>
      </c>
      <c r="J42" s="15">
        <f t="shared" si="1"/>
        <v>408</v>
      </c>
    </row>
    <row r="43" spans="2:10" ht="16.8" thickTop="1" thickBot="1">
      <c r="B43" s="10">
        <v>116335166013</v>
      </c>
      <c r="C43" s="16">
        <v>17463</v>
      </c>
      <c r="D43" s="12">
        <v>45708</v>
      </c>
      <c r="E43" s="8">
        <v>45715</v>
      </c>
      <c r="F43" s="8">
        <v>45724</v>
      </c>
      <c r="G43" s="8" t="s">
        <v>13</v>
      </c>
      <c r="H43" s="13">
        <f t="shared" si="0"/>
        <v>9</v>
      </c>
      <c r="I43" s="14" t="s">
        <v>20</v>
      </c>
      <c r="J43" s="15">
        <f>56*2+60*7</f>
        <v>532</v>
      </c>
    </row>
    <row r="44" spans="2:10" ht="16.8" thickTop="1" thickBot="1">
      <c r="B44" s="10">
        <v>116345207489</v>
      </c>
      <c r="C44" s="16">
        <v>17464</v>
      </c>
      <c r="D44" s="12">
        <v>45709</v>
      </c>
      <c r="E44" s="8">
        <v>45718</v>
      </c>
      <c r="F44" s="8">
        <v>45724</v>
      </c>
      <c r="G44" s="8" t="s">
        <v>13</v>
      </c>
      <c r="H44" s="13">
        <f t="shared" si="0"/>
        <v>6</v>
      </c>
      <c r="I44" s="14">
        <v>60</v>
      </c>
      <c r="J44" s="15">
        <f t="shared" si="1"/>
        <v>360</v>
      </c>
    </row>
    <row r="45" spans="2:10" ht="16.8" thickTop="1" thickBot="1">
      <c r="B45" s="10">
        <v>115355200248</v>
      </c>
      <c r="C45" s="16">
        <v>17465</v>
      </c>
      <c r="D45" s="12">
        <v>45709</v>
      </c>
      <c r="E45" s="8">
        <v>45717</v>
      </c>
      <c r="F45" s="8">
        <v>45724</v>
      </c>
      <c r="G45" s="8" t="s">
        <v>16</v>
      </c>
      <c r="H45" s="13">
        <f t="shared" si="0"/>
        <v>7</v>
      </c>
      <c r="I45" s="14">
        <v>68</v>
      </c>
      <c r="J45" s="15">
        <f t="shared" si="1"/>
        <v>476</v>
      </c>
    </row>
    <row r="46" spans="2:10" ht="16.8" thickTop="1" thickBot="1">
      <c r="B46" s="10">
        <v>116305204798</v>
      </c>
      <c r="C46" s="16">
        <v>17466</v>
      </c>
      <c r="D46" s="12">
        <v>45707</v>
      </c>
      <c r="E46" s="8">
        <v>45717</v>
      </c>
      <c r="F46" s="8">
        <v>45724</v>
      </c>
      <c r="G46" s="8" t="s">
        <v>13</v>
      </c>
      <c r="H46" s="13">
        <f t="shared" si="0"/>
        <v>7</v>
      </c>
      <c r="I46" s="14">
        <v>60</v>
      </c>
      <c r="J46" s="15">
        <f t="shared" si="1"/>
        <v>420</v>
      </c>
    </row>
    <row r="47" spans="2:10" ht="16.8" thickTop="1" thickBot="1">
      <c r="B47" s="10">
        <v>116305208062</v>
      </c>
      <c r="C47" s="16">
        <v>17467</v>
      </c>
      <c r="D47" s="12">
        <v>45710</v>
      </c>
      <c r="E47" s="8">
        <v>45717</v>
      </c>
      <c r="F47" s="8">
        <v>45724</v>
      </c>
      <c r="G47" s="8" t="s">
        <v>13</v>
      </c>
      <c r="H47" s="13">
        <f t="shared" si="0"/>
        <v>7</v>
      </c>
      <c r="I47" s="14">
        <v>60</v>
      </c>
      <c r="J47" s="15">
        <f t="shared" si="1"/>
        <v>420</v>
      </c>
    </row>
    <row r="48" spans="2:10" ht="16.8" thickTop="1" thickBot="1">
      <c r="B48" s="10">
        <v>116385165080</v>
      </c>
      <c r="C48" s="16">
        <v>17468</v>
      </c>
      <c r="D48" s="12">
        <v>45708</v>
      </c>
      <c r="E48" s="8">
        <v>45715</v>
      </c>
      <c r="F48" s="8">
        <v>45724</v>
      </c>
      <c r="G48" s="8" t="s">
        <v>13</v>
      </c>
      <c r="H48" s="13">
        <f t="shared" si="0"/>
        <v>9</v>
      </c>
      <c r="I48" s="14" t="s">
        <v>20</v>
      </c>
      <c r="J48" s="15">
        <f>56*2+60*7</f>
        <v>532</v>
      </c>
    </row>
    <row r="49" spans="2:10" ht="16.8" thickTop="1" thickBot="1">
      <c r="B49" s="10">
        <v>116345207793</v>
      </c>
      <c r="C49" s="16">
        <v>17548</v>
      </c>
      <c r="D49" s="12">
        <v>45712</v>
      </c>
      <c r="E49" s="8">
        <v>45718</v>
      </c>
      <c r="F49" s="8">
        <v>45725</v>
      </c>
      <c r="G49" s="8" t="s">
        <v>16</v>
      </c>
      <c r="H49" s="13">
        <f t="shared" si="0"/>
        <v>7</v>
      </c>
      <c r="I49" s="14">
        <v>68</v>
      </c>
      <c r="J49" s="15">
        <f>+I49*H49</f>
        <v>476</v>
      </c>
    </row>
    <row r="50" spans="2:10" ht="16.8" thickTop="1" thickBot="1">
      <c r="B50" s="10">
        <v>116305163934</v>
      </c>
      <c r="C50" s="16">
        <v>17549</v>
      </c>
      <c r="D50" s="12">
        <v>45707</v>
      </c>
      <c r="E50" s="8">
        <v>45716</v>
      </c>
      <c r="F50" s="8">
        <v>45725</v>
      </c>
      <c r="G50" s="8" t="s">
        <v>13</v>
      </c>
      <c r="H50" s="13">
        <f t="shared" si="0"/>
        <v>9</v>
      </c>
      <c r="I50" s="14" t="s">
        <v>20</v>
      </c>
      <c r="J50" s="15">
        <f>56+60*8</f>
        <v>536</v>
      </c>
    </row>
    <row r="51" spans="2:10" ht="16.8" thickTop="1" thickBot="1">
      <c r="B51" s="10">
        <v>115375200325</v>
      </c>
      <c r="C51" s="16">
        <v>17579</v>
      </c>
      <c r="D51" s="12">
        <v>45708</v>
      </c>
      <c r="E51" s="8">
        <v>45720</v>
      </c>
      <c r="F51" s="8">
        <v>45726</v>
      </c>
      <c r="G51" s="8" t="s">
        <v>13</v>
      </c>
      <c r="H51" s="13">
        <f t="shared" si="0"/>
        <v>6</v>
      </c>
      <c r="I51" s="14">
        <v>60</v>
      </c>
      <c r="J51" s="15">
        <f t="shared" si="1"/>
        <v>360</v>
      </c>
    </row>
    <row r="52" spans="2:10" ht="16.8" thickTop="1" thickBot="1">
      <c r="B52" s="10">
        <v>116395211733</v>
      </c>
      <c r="C52" s="16">
        <v>17580</v>
      </c>
      <c r="D52" s="12">
        <v>45719</v>
      </c>
      <c r="E52" s="8">
        <v>45720</v>
      </c>
      <c r="F52" s="8">
        <v>45726</v>
      </c>
      <c r="G52" s="8" t="s">
        <v>18</v>
      </c>
      <c r="H52" s="13">
        <f t="shared" si="0"/>
        <v>6</v>
      </c>
      <c r="I52" s="14">
        <f>48+4</f>
        <v>52</v>
      </c>
      <c r="J52" s="15">
        <f t="shared" si="1"/>
        <v>312</v>
      </c>
    </row>
    <row r="53" spans="2:10" ht="16.8" thickTop="1" thickBot="1">
      <c r="B53" s="10">
        <v>115305200359</v>
      </c>
      <c r="C53" s="16">
        <v>17610</v>
      </c>
      <c r="D53" s="12">
        <v>45708</v>
      </c>
      <c r="E53" s="8">
        <v>45718</v>
      </c>
      <c r="F53" s="8">
        <v>45727</v>
      </c>
      <c r="G53" s="8" t="s">
        <v>13</v>
      </c>
      <c r="H53" s="13">
        <f t="shared" si="0"/>
        <v>9</v>
      </c>
      <c r="I53" s="14">
        <v>60</v>
      </c>
      <c r="J53" s="15">
        <f t="shared" si="1"/>
        <v>540</v>
      </c>
    </row>
    <row r="54" spans="2:10" ht="16.8" thickTop="1" thickBot="1">
      <c r="B54" s="10">
        <v>116345202774</v>
      </c>
      <c r="C54" s="16">
        <v>17611</v>
      </c>
      <c r="D54" s="12">
        <v>45690</v>
      </c>
      <c r="E54" s="8">
        <v>45717</v>
      </c>
      <c r="F54" s="8">
        <v>45727</v>
      </c>
      <c r="G54" s="8" t="s">
        <v>13</v>
      </c>
      <c r="H54" s="13">
        <f t="shared" si="0"/>
        <v>10</v>
      </c>
      <c r="I54" s="14">
        <f>36*2</f>
        <v>72</v>
      </c>
      <c r="J54" s="15">
        <f t="shared" si="1"/>
        <v>720</v>
      </c>
    </row>
    <row r="55" spans="2:10" ht="16.8" thickTop="1" thickBot="1">
      <c r="B55" s="10">
        <v>115395200242</v>
      </c>
      <c r="C55" s="16">
        <v>17612</v>
      </c>
      <c r="D55" s="12">
        <v>45708</v>
      </c>
      <c r="E55" s="8">
        <v>45718</v>
      </c>
      <c r="F55" s="8">
        <v>45727</v>
      </c>
      <c r="G55" s="8" t="s">
        <v>15</v>
      </c>
      <c r="H55" s="13">
        <f t="shared" si="0"/>
        <v>9</v>
      </c>
      <c r="I55" s="14">
        <v>48</v>
      </c>
      <c r="J55" s="15">
        <f t="shared" si="1"/>
        <v>432</v>
      </c>
    </row>
    <row r="56" spans="2:10" ht="16.8" thickTop="1" thickBot="1">
      <c r="B56" s="10">
        <v>116385204567</v>
      </c>
      <c r="C56" s="16">
        <v>17613</v>
      </c>
      <c r="D56" s="12">
        <v>45707</v>
      </c>
      <c r="E56" s="8">
        <v>45717</v>
      </c>
      <c r="F56" s="8">
        <v>45727</v>
      </c>
      <c r="G56" s="8" t="s">
        <v>13</v>
      </c>
      <c r="H56" s="13">
        <f t="shared" si="0"/>
        <v>10</v>
      </c>
      <c r="I56" s="14">
        <v>60</v>
      </c>
      <c r="J56" s="15">
        <f t="shared" si="1"/>
        <v>600</v>
      </c>
    </row>
    <row r="57" spans="2:10" ht="16.8" thickTop="1" thickBot="1">
      <c r="B57" s="10">
        <v>116325163967</v>
      </c>
      <c r="C57" s="16">
        <v>17614</v>
      </c>
      <c r="D57" s="12">
        <v>45708</v>
      </c>
      <c r="E57" s="8">
        <v>45715</v>
      </c>
      <c r="F57" s="8">
        <v>45727</v>
      </c>
      <c r="G57" s="8" t="s">
        <v>13</v>
      </c>
      <c r="H57" s="13">
        <f t="shared" si="0"/>
        <v>12</v>
      </c>
      <c r="I57" s="14" t="s">
        <v>20</v>
      </c>
      <c r="J57" s="15">
        <f>56*2+60*10</f>
        <v>712</v>
      </c>
    </row>
    <row r="58" spans="2:10" ht="16.8" thickTop="1" thickBot="1">
      <c r="B58" s="10">
        <v>116325163967</v>
      </c>
      <c r="C58" s="16">
        <v>17615</v>
      </c>
      <c r="D58" s="12">
        <v>45708</v>
      </c>
      <c r="E58" s="8">
        <v>45715</v>
      </c>
      <c r="F58" s="8">
        <v>45727</v>
      </c>
      <c r="G58" s="8" t="s">
        <v>15</v>
      </c>
      <c r="H58" s="13">
        <f t="shared" si="0"/>
        <v>12</v>
      </c>
      <c r="I58" s="14" t="s">
        <v>21</v>
      </c>
      <c r="J58" s="15">
        <f>45*2+48*10</f>
        <v>570</v>
      </c>
    </row>
    <row r="59" spans="2:10" ht="16.8" thickTop="1" thickBot="1">
      <c r="B59" s="10">
        <v>116325164377</v>
      </c>
      <c r="C59" s="16">
        <v>17616</v>
      </c>
      <c r="D59" s="12">
        <v>45707</v>
      </c>
      <c r="E59" s="8">
        <v>45713</v>
      </c>
      <c r="F59" s="8">
        <v>45727</v>
      </c>
      <c r="G59" s="8" t="s">
        <v>14</v>
      </c>
      <c r="H59" s="13">
        <f t="shared" si="0"/>
        <v>14</v>
      </c>
      <c r="I59" s="14" t="s">
        <v>22</v>
      </c>
      <c r="J59" s="14">
        <f>75*4+10*81</f>
        <v>1110</v>
      </c>
    </row>
    <row r="60" spans="2:10" ht="16.8" thickTop="1" thickBot="1">
      <c r="B60" s="10">
        <v>116395207941</v>
      </c>
      <c r="C60" s="16">
        <v>17634</v>
      </c>
      <c r="D60" s="12">
        <v>45713</v>
      </c>
      <c r="E60" s="8">
        <v>45719</v>
      </c>
      <c r="F60" s="8">
        <v>45728</v>
      </c>
      <c r="G60" s="8" t="s">
        <v>16</v>
      </c>
      <c r="H60" s="13">
        <f t="shared" si="0"/>
        <v>9</v>
      </c>
      <c r="I60" s="14">
        <f>60+8</f>
        <v>68</v>
      </c>
      <c r="J60" s="15">
        <f t="shared" si="1"/>
        <v>612</v>
      </c>
    </row>
    <row r="61" spans="2:10" ht="16.8" thickTop="1" thickBot="1">
      <c r="B61" s="10">
        <v>116395207941</v>
      </c>
      <c r="C61" s="16">
        <v>17635</v>
      </c>
      <c r="D61" s="12">
        <v>45713</v>
      </c>
      <c r="E61" s="8">
        <v>45719</v>
      </c>
      <c r="F61" s="8">
        <v>45728</v>
      </c>
      <c r="G61" s="8" t="s">
        <v>18</v>
      </c>
      <c r="H61" s="13">
        <f t="shared" si="0"/>
        <v>9</v>
      </c>
      <c r="I61" s="14">
        <f>48+4</f>
        <v>52</v>
      </c>
      <c r="J61" s="15">
        <f>+I61*H61</f>
        <v>468</v>
      </c>
    </row>
    <row r="62" spans="2:10" ht="16.8" thickTop="1" thickBot="1">
      <c r="B62" s="10">
        <v>116325205971</v>
      </c>
      <c r="C62" s="16">
        <v>17636</v>
      </c>
      <c r="D62" s="12">
        <v>45708</v>
      </c>
      <c r="E62" s="8">
        <v>45721</v>
      </c>
      <c r="F62" s="8">
        <v>45728</v>
      </c>
      <c r="G62" s="8" t="s">
        <v>13</v>
      </c>
      <c r="H62" s="13">
        <f t="shared" si="0"/>
        <v>7</v>
      </c>
      <c r="I62" s="14">
        <v>60</v>
      </c>
      <c r="J62" s="15">
        <f t="shared" si="1"/>
        <v>420</v>
      </c>
    </row>
    <row r="63" spans="2:10" ht="16.8" thickTop="1" thickBot="1">
      <c r="B63" s="10">
        <v>116325209948</v>
      </c>
      <c r="C63" s="16">
        <v>17637</v>
      </c>
      <c r="D63" s="12">
        <v>45714</v>
      </c>
      <c r="E63" s="8">
        <v>45722</v>
      </c>
      <c r="F63" s="8">
        <v>45728</v>
      </c>
      <c r="G63" s="8" t="s">
        <v>16</v>
      </c>
      <c r="H63" s="13">
        <f t="shared" si="0"/>
        <v>6</v>
      </c>
      <c r="I63" s="14">
        <v>68</v>
      </c>
      <c r="J63" s="15">
        <f t="shared" si="1"/>
        <v>408</v>
      </c>
    </row>
    <row r="64" spans="2:10" ht="16.8" thickTop="1" thickBot="1">
      <c r="B64" s="10">
        <v>116365209799</v>
      </c>
      <c r="C64" s="16">
        <v>17638</v>
      </c>
      <c r="D64" s="12">
        <v>45714</v>
      </c>
      <c r="E64" s="8">
        <v>45722</v>
      </c>
      <c r="F64" s="8">
        <v>45728</v>
      </c>
      <c r="G64" s="8" t="s">
        <v>16</v>
      </c>
      <c r="H64" s="13">
        <f t="shared" si="0"/>
        <v>6</v>
      </c>
      <c r="I64" s="14">
        <f>60+8</f>
        <v>68</v>
      </c>
      <c r="J64" s="15">
        <f t="shared" si="1"/>
        <v>408</v>
      </c>
    </row>
    <row r="65" spans="2:10" ht="16.8" thickTop="1" thickBot="1">
      <c r="B65" s="10">
        <v>116315206571</v>
      </c>
      <c r="C65" s="16">
        <v>17639</v>
      </c>
      <c r="D65" s="12">
        <v>45709</v>
      </c>
      <c r="E65" s="8">
        <v>45722</v>
      </c>
      <c r="F65" s="8">
        <v>45728</v>
      </c>
      <c r="G65" s="8" t="s">
        <v>15</v>
      </c>
      <c r="H65" s="13">
        <f t="shared" si="0"/>
        <v>6</v>
      </c>
      <c r="I65" s="14">
        <v>48</v>
      </c>
      <c r="J65" s="15">
        <f t="shared" si="1"/>
        <v>288</v>
      </c>
    </row>
    <row r="66" spans="2:10" ht="16.8" thickTop="1" thickBot="1">
      <c r="B66" s="10">
        <v>116335207143</v>
      </c>
      <c r="C66" s="16">
        <v>17640</v>
      </c>
      <c r="D66" s="12">
        <v>45710</v>
      </c>
      <c r="E66" s="8">
        <v>45722</v>
      </c>
      <c r="F66" s="8">
        <v>45728</v>
      </c>
      <c r="G66" s="8" t="s">
        <v>13</v>
      </c>
      <c r="H66" s="13">
        <f t="shared" ref="H66:H99" si="2">+F66-E66</f>
        <v>6</v>
      </c>
      <c r="I66" s="14">
        <v>60</v>
      </c>
      <c r="J66" s="15">
        <f t="shared" ref="J66:J99" si="3">+I66*H66</f>
        <v>360</v>
      </c>
    </row>
    <row r="67" spans="2:10" ht="16.8" thickTop="1" thickBot="1">
      <c r="B67" s="10">
        <v>116365202530</v>
      </c>
      <c r="C67" s="16">
        <v>17671</v>
      </c>
      <c r="D67" s="12">
        <v>45688</v>
      </c>
      <c r="E67" s="8">
        <v>45722</v>
      </c>
      <c r="F67" s="8">
        <v>45729</v>
      </c>
      <c r="G67" s="8" t="s">
        <v>15</v>
      </c>
      <c r="H67" s="13">
        <f t="shared" si="2"/>
        <v>7</v>
      </c>
      <c r="I67" s="14">
        <v>58</v>
      </c>
      <c r="J67" s="15">
        <f t="shared" si="3"/>
        <v>406</v>
      </c>
    </row>
    <row r="68" spans="2:10" ht="16.8" thickTop="1" thickBot="1">
      <c r="B68" s="10">
        <v>116305210652</v>
      </c>
      <c r="C68" s="16">
        <v>17672</v>
      </c>
      <c r="D68" s="12">
        <v>45714</v>
      </c>
      <c r="E68" s="8">
        <v>45723</v>
      </c>
      <c r="F68" s="8">
        <v>45729</v>
      </c>
      <c r="G68" s="8" t="s">
        <v>16</v>
      </c>
      <c r="H68" s="13">
        <f t="shared" si="2"/>
        <v>6</v>
      </c>
      <c r="I68" s="14">
        <v>68</v>
      </c>
      <c r="J68" s="15">
        <f t="shared" si="3"/>
        <v>408</v>
      </c>
    </row>
    <row r="69" spans="2:10" ht="16.8" thickTop="1" thickBot="1">
      <c r="B69" s="10">
        <v>116315208438</v>
      </c>
      <c r="C69" s="16">
        <v>17700</v>
      </c>
      <c r="D69" s="12">
        <v>45713</v>
      </c>
      <c r="E69" s="8">
        <v>45724</v>
      </c>
      <c r="F69" s="8">
        <v>45730</v>
      </c>
      <c r="G69" s="8" t="s">
        <v>16</v>
      </c>
      <c r="H69" s="13">
        <f t="shared" si="2"/>
        <v>6</v>
      </c>
      <c r="I69" s="14">
        <v>68</v>
      </c>
      <c r="J69" s="15">
        <f t="shared" si="3"/>
        <v>408</v>
      </c>
    </row>
    <row r="70" spans="2:10" ht="16.8" thickTop="1" thickBot="1">
      <c r="B70" s="10">
        <v>116315208438</v>
      </c>
      <c r="C70" s="16">
        <v>17701</v>
      </c>
      <c r="D70" s="12">
        <v>45713</v>
      </c>
      <c r="E70" s="8">
        <v>45724</v>
      </c>
      <c r="F70" s="8">
        <v>45730</v>
      </c>
      <c r="G70" s="8" t="s">
        <v>16</v>
      </c>
      <c r="H70" s="13">
        <f t="shared" si="2"/>
        <v>6</v>
      </c>
      <c r="I70" s="14">
        <v>68</v>
      </c>
      <c r="J70" s="15">
        <f t="shared" si="3"/>
        <v>408</v>
      </c>
    </row>
    <row r="71" spans="2:10" ht="16.8" thickTop="1" thickBot="1">
      <c r="B71" s="10">
        <v>115375200073</v>
      </c>
      <c r="C71" s="16">
        <v>17702</v>
      </c>
      <c r="D71" s="12">
        <v>45707</v>
      </c>
      <c r="E71" s="8">
        <v>45721</v>
      </c>
      <c r="F71" s="8">
        <v>45730</v>
      </c>
      <c r="G71" s="8" t="s">
        <v>14</v>
      </c>
      <c r="H71" s="13">
        <f t="shared" si="2"/>
        <v>9</v>
      </c>
      <c r="I71" s="14">
        <v>81</v>
      </c>
      <c r="J71" s="15">
        <f t="shared" si="3"/>
        <v>729</v>
      </c>
    </row>
    <row r="72" spans="2:10" ht="16.8" thickTop="1" thickBot="1">
      <c r="B72" s="10">
        <v>115315200091</v>
      </c>
      <c r="C72" s="16">
        <v>17814</v>
      </c>
      <c r="D72" s="12">
        <v>45707</v>
      </c>
      <c r="E72" s="8">
        <v>45717</v>
      </c>
      <c r="F72" s="8">
        <v>45731</v>
      </c>
      <c r="G72" s="8" t="s">
        <v>18</v>
      </c>
      <c r="H72" s="13">
        <f t="shared" si="2"/>
        <v>14</v>
      </c>
      <c r="I72" s="14">
        <f>48+4</f>
        <v>52</v>
      </c>
      <c r="J72" s="15">
        <f t="shared" si="3"/>
        <v>728</v>
      </c>
    </row>
    <row r="73" spans="2:10" ht="16.8" thickTop="1" thickBot="1">
      <c r="B73" s="10">
        <v>116305208987</v>
      </c>
      <c r="C73" s="16">
        <v>17815</v>
      </c>
      <c r="D73" s="12">
        <v>45714</v>
      </c>
      <c r="E73" s="8">
        <v>45724</v>
      </c>
      <c r="F73" s="8">
        <v>45731</v>
      </c>
      <c r="G73" s="8" t="s">
        <v>18</v>
      </c>
      <c r="H73" s="13">
        <f t="shared" si="2"/>
        <v>7</v>
      </c>
      <c r="I73" s="14">
        <f>48+4</f>
        <v>52</v>
      </c>
      <c r="J73" s="15">
        <f t="shared" si="3"/>
        <v>364</v>
      </c>
    </row>
    <row r="74" spans="2:10" ht="16.8" thickTop="1" thickBot="1">
      <c r="B74" s="10">
        <v>116335207020</v>
      </c>
      <c r="C74" s="16">
        <v>17816</v>
      </c>
      <c r="D74" s="12">
        <v>45708</v>
      </c>
      <c r="E74" s="8">
        <v>45724</v>
      </c>
      <c r="F74" s="8">
        <v>45731</v>
      </c>
      <c r="G74" s="8" t="s">
        <v>16</v>
      </c>
      <c r="H74" s="13">
        <f t="shared" si="2"/>
        <v>7</v>
      </c>
      <c r="I74" s="14">
        <f>60+8</f>
        <v>68</v>
      </c>
      <c r="J74" s="15">
        <f t="shared" si="3"/>
        <v>476</v>
      </c>
    </row>
    <row r="75" spans="2:10" ht="16.8" thickTop="1" thickBot="1">
      <c r="B75" s="10">
        <v>116385205687</v>
      </c>
      <c r="C75" s="16">
        <v>17817</v>
      </c>
      <c r="D75" s="12">
        <v>45708</v>
      </c>
      <c r="E75" s="8">
        <v>45724</v>
      </c>
      <c r="F75" s="8">
        <v>45731</v>
      </c>
      <c r="G75" s="8" t="s">
        <v>13</v>
      </c>
      <c r="H75" s="13">
        <f t="shared" si="2"/>
        <v>7</v>
      </c>
      <c r="I75" s="14">
        <v>60</v>
      </c>
      <c r="J75" s="15">
        <f t="shared" si="3"/>
        <v>420</v>
      </c>
    </row>
    <row r="76" spans="2:10" ht="16.8" thickTop="1" thickBot="1">
      <c r="B76" s="10">
        <v>116375207314</v>
      </c>
      <c r="C76" s="16">
        <v>17818</v>
      </c>
      <c r="D76" s="12">
        <v>45709</v>
      </c>
      <c r="E76" s="8">
        <v>45724</v>
      </c>
      <c r="F76" s="8">
        <v>45731</v>
      </c>
      <c r="G76" s="8" t="s">
        <v>14</v>
      </c>
      <c r="H76" s="13">
        <f t="shared" si="2"/>
        <v>7</v>
      </c>
      <c r="I76" s="14">
        <v>81</v>
      </c>
      <c r="J76" s="15">
        <f t="shared" si="3"/>
        <v>567</v>
      </c>
    </row>
    <row r="77" spans="2:10" ht="16.8" thickTop="1" thickBot="1">
      <c r="B77" s="10">
        <v>116345207083</v>
      </c>
      <c r="C77" s="16">
        <v>17860</v>
      </c>
      <c r="D77" s="12">
        <v>45708</v>
      </c>
      <c r="E77" s="8">
        <v>45722</v>
      </c>
      <c r="F77" s="8">
        <v>45732</v>
      </c>
      <c r="G77" s="8" t="s">
        <v>15</v>
      </c>
      <c r="H77" s="13">
        <f t="shared" si="2"/>
        <v>10</v>
      </c>
      <c r="I77" s="14">
        <v>48</v>
      </c>
      <c r="J77" s="15">
        <f t="shared" si="3"/>
        <v>480</v>
      </c>
    </row>
    <row r="78" spans="2:10" ht="16.8" thickTop="1" thickBot="1">
      <c r="B78" s="10">
        <v>116325205766</v>
      </c>
      <c r="C78" s="16">
        <v>17861</v>
      </c>
      <c r="D78" s="12">
        <v>45709</v>
      </c>
      <c r="E78" s="8">
        <v>45725</v>
      </c>
      <c r="F78" s="8">
        <v>45732</v>
      </c>
      <c r="G78" s="8" t="s">
        <v>13</v>
      </c>
      <c r="H78" s="13">
        <f t="shared" si="2"/>
        <v>7</v>
      </c>
      <c r="I78" s="14">
        <v>60</v>
      </c>
      <c r="J78" s="15">
        <f t="shared" si="3"/>
        <v>420</v>
      </c>
    </row>
    <row r="79" spans="2:10" ht="16.8" thickTop="1" thickBot="1">
      <c r="B79" s="10">
        <v>116305206044</v>
      </c>
      <c r="C79" s="16">
        <v>17890</v>
      </c>
      <c r="D79" s="12">
        <v>45709</v>
      </c>
      <c r="E79" s="8">
        <v>45725</v>
      </c>
      <c r="F79" s="8">
        <v>45734</v>
      </c>
      <c r="G79" s="8" t="s">
        <v>13</v>
      </c>
      <c r="H79" s="13">
        <f t="shared" si="2"/>
        <v>9</v>
      </c>
      <c r="I79" s="14">
        <v>60</v>
      </c>
      <c r="J79" s="15">
        <f t="shared" si="3"/>
        <v>540</v>
      </c>
    </row>
    <row r="80" spans="2:10" ht="16.8" thickTop="1" thickBot="1">
      <c r="B80" s="10">
        <v>116375206232</v>
      </c>
      <c r="C80" s="16">
        <v>17908</v>
      </c>
      <c r="D80" s="12">
        <v>45709</v>
      </c>
      <c r="E80" s="8">
        <v>45725</v>
      </c>
      <c r="F80" s="8">
        <v>45735</v>
      </c>
      <c r="G80" s="8" t="s">
        <v>13</v>
      </c>
      <c r="H80" s="13">
        <f t="shared" si="2"/>
        <v>10</v>
      </c>
      <c r="I80" s="14">
        <v>60</v>
      </c>
      <c r="J80" s="15">
        <f t="shared" si="3"/>
        <v>600</v>
      </c>
    </row>
    <row r="81" spans="2:10" ht="16.8" thickTop="1" thickBot="1">
      <c r="B81" s="10">
        <v>116355201273</v>
      </c>
      <c r="C81" s="16">
        <v>17936</v>
      </c>
      <c r="D81" s="12">
        <v>45680</v>
      </c>
      <c r="E81" s="8">
        <v>45725</v>
      </c>
      <c r="F81" s="8">
        <v>45736</v>
      </c>
      <c r="G81" s="8" t="s">
        <v>13</v>
      </c>
      <c r="H81" s="13">
        <f t="shared" si="2"/>
        <v>11</v>
      </c>
      <c r="I81" s="14">
        <v>72</v>
      </c>
      <c r="J81" s="15">
        <f t="shared" si="3"/>
        <v>792</v>
      </c>
    </row>
    <row r="82" spans="2:10" ht="16.8" thickTop="1" thickBot="1">
      <c r="B82" s="10">
        <v>116385212593</v>
      </c>
      <c r="C82" s="16">
        <v>17937</v>
      </c>
      <c r="D82" s="12">
        <v>45720</v>
      </c>
      <c r="E82" s="8">
        <v>45730</v>
      </c>
      <c r="F82" s="8">
        <v>45736</v>
      </c>
      <c r="G82" s="4" t="s">
        <v>17</v>
      </c>
      <c r="H82" s="13">
        <f t="shared" si="2"/>
        <v>6</v>
      </c>
      <c r="I82" s="14">
        <f>60+8+8</f>
        <v>76</v>
      </c>
      <c r="J82" s="15">
        <f t="shared" si="3"/>
        <v>456</v>
      </c>
    </row>
    <row r="83" spans="2:10" ht="16.8" thickTop="1" thickBot="1">
      <c r="B83" s="10">
        <v>116375206270</v>
      </c>
      <c r="C83" s="16">
        <v>17938</v>
      </c>
      <c r="D83" s="12">
        <v>45708</v>
      </c>
      <c r="E83" s="8">
        <v>45729</v>
      </c>
      <c r="F83" s="8">
        <v>45732</v>
      </c>
      <c r="G83" s="8" t="s">
        <v>15</v>
      </c>
      <c r="H83" s="13">
        <f t="shared" si="2"/>
        <v>3</v>
      </c>
      <c r="I83" s="14">
        <v>48</v>
      </c>
      <c r="J83" s="15">
        <f t="shared" si="3"/>
        <v>144</v>
      </c>
    </row>
    <row r="84" spans="2:10" ht="16.8" thickTop="1" thickBot="1">
      <c r="B84" s="10">
        <v>116375206270</v>
      </c>
      <c r="C84" s="16">
        <v>17938</v>
      </c>
      <c r="D84" s="12">
        <v>45708</v>
      </c>
      <c r="E84" s="8">
        <v>45732</v>
      </c>
      <c r="F84" s="8">
        <v>45736</v>
      </c>
      <c r="G84" s="8" t="s">
        <v>13</v>
      </c>
      <c r="H84" s="13">
        <f t="shared" si="2"/>
        <v>4</v>
      </c>
      <c r="I84" s="14">
        <v>60</v>
      </c>
      <c r="J84" s="15">
        <f t="shared" si="3"/>
        <v>240</v>
      </c>
    </row>
    <row r="85" spans="2:10" ht="16.8" thickTop="1" thickBot="1">
      <c r="B85" s="10">
        <v>116335211263</v>
      </c>
      <c r="C85" s="16">
        <v>18011</v>
      </c>
      <c r="D85" s="12">
        <v>45717</v>
      </c>
      <c r="E85" s="8">
        <v>45730</v>
      </c>
      <c r="F85" s="8">
        <v>45737</v>
      </c>
      <c r="G85" s="8" t="s">
        <v>16</v>
      </c>
      <c r="H85" s="13">
        <f t="shared" si="2"/>
        <v>7</v>
      </c>
      <c r="I85" s="14">
        <v>68</v>
      </c>
      <c r="J85" s="15">
        <f t="shared" si="3"/>
        <v>476</v>
      </c>
    </row>
    <row r="86" spans="2:10" ht="16.8" thickTop="1" thickBot="1">
      <c r="B86" s="10">
        <v>116315214316</v>
      </c>
      <c r="C86" s="16">
        <v>18012</v>
      </c>
      <c r="D86" s="12">
        <v>45726</v>
      </c>
      <c r="E86" s="8">
        <v>45731</v>
      </c>
      <c r="F86" s="8">
        <v>45737</v>
      </c>
      <c r="G86" s="8" t="s">
        <v>16</v>
      </c>
      <c r="H86" s="13">
        <f t="shared" si="2"/>
        <v>6</v>
      </c>
      <c r="I86" s="14">
        <f>60+8</f>
        <v>68</v>
      </c>
      <c r="J86" s="15">
        <f t="shared" si="3"/>
        <v>408</v>
      </c>
    </row>
    <row r="87" spans="2:10" ht="16.8" thickTop="1" thickBot="1">
      <c r="B87" s="10">
        <v>116375204061</v>
      </c>
      <c r="C87" s="16">
        <v>18030</v>
      </c>
      <c r="D87" s="12">
        <v>45707</v>
      </c>
      <c r="E87" s="8">
        <v>45728</v>
      </c>
      <c r="F87" s="8">
        <v>45738</v>
      </c>
      <c r="G87" s="8" t="s">
        <v>13</v>
      </c>
      <c r="H87" s="13">
        <f t="shared" si="2"/>
        <v>10</v>
      </c>
      <c r="I87" s="14">
        <v>60</v>
      </c>
      <c r="J87" s="15">
        <f t="shared" si="3"/>
        <v>600</v>
      </c>
    </row>
    <row r="88" spans="2:10" ht="16.8" thickTop="1" thickBot="1">
      <c r="B88" s="10">
        <v>116325216267</v>
      </c>
      <c r="C88" s="16">
        <v>18031</v>
      </c>
      <c r="D88" s="12">
        <v>45726</v>
      </c>
      <c r="E88" s="8">
        <v>45732</v>
      </c>
      <c r="F88" s="8">
        <v>45738</v>
      </c>
      <c r="G88" s="8" t="s">
        <v>13</v>
      </c>
      <c r="H88" s="13">
        <f t="shared" si="2"/>
        <v>6</v>
      </c>
      <c r="I88" s="14">
        <v>60</v>
      </c>
      <c r="J88" s="15">
        <f t="shared" si="3"/>
        <v>360</v>
      </c>
    </row>
    <row r="89" spans="2:10" ht="16.8" thickTop="1" thickBot="1">
      <c r="B89" s="10">
        <v>116395214499</v>
      </c>
      <c r="C89" s="16">
        <v>18032</v>
      </c>
      <c r="D89" s="12">
        <v>45722</v>
      </c>
      <c r="E89" s="8">
        <v>45732</v>
      </c>
      <c r="F89" s="8">
        <v>45738</v>
      </c>
      <c r="G89" s="8" t="s">
        <v>13</v>
      </c>
      <c r="H89" s="13">
        <f t="shared" si="2"/>
        <v>6</v>
      </c>
      <c r="I89" s="14">
        <v>60</v>
      </c>
      <c r="J89" s="15">
        <f t="shared" si="3"/>
        <v>360</v>
      </c>
    </row>
    <row r="90" spans="2:10" ht="16.8" thickTop="1" thickBot="1">
      <c r="B90" s="10">
        <v>116365215615</v>
      </c>
      <c r="C90" s="16">
        <v>18033</v>
      </c>
      <c r="D90" s="12">
        <v>45726</v>
      </c>
      <c r="E90" s="8">
        <v>45732</v>
      </c>
      <c r="F90" s="8">
        <v>45738</v>
      </c>
      <c r="G90" s="8" t="s">
        <v>18</v>
      </c>
      <c r="H90" s="13">
        <f t="shared" si="2"/>
        <v>6</v>
      </c>
      <c r="I90" s="14">
        <f>48+4</f>
        <v>52</v>
      </c>
      <c r="J90" s="15">
        <f t="shared" si="3"/>
        <v>312</v>
      </c>
    </row>
    <row r="91" spans="2:10" ht="16.8" thickTop="1" thickBot="1">
      <c r="B91" s="10">
        <v>115395200587</v>
      </c>
      <c r="C91" s="16">
        <v>18130</v>
      </c>
      <c r="D91" s="12">
        <v>45719</v>
      </c>
      <c r="E91" s="8">
        <v>45735</v>
      </c>
      <c r="F91" s="8">
        <v>45739</v>
      </c>
      <c r="G91" s="8" t="s">
        <v>12</v>
      </c>
      <c r="H91" s="13">
        <f t="shared" si="2"/>
        <v>4</v>
      </c>
      <c r="I91" s="14">
        <f>81+12</f>
        <v>93</v>
      </c>
      <c r="J91" s="15">
        <f t="shared" si="3"/>
        <v>372</v>
      </c>
    </row>
    <row r="92" spans="2:10" ht="16.8" thickTop="1" thickBot="1">
      <c r="B92" s="10">
        <v>116385204598</v>
      </c>
      <c r="C92" s="16">
        <v>18131</v>
      </c>
      <c r="D92" s="12">
        <v>45708</v>
      </c>
      <c r="E92" s="8">
        <v>45731</v>
      </c>
      <c r="F92" s="8">
        <v>45739</v>
      </c>
      <c r="G92" s="8" t="s">
        <v>13</v>
      </c>
      <c r="H92" s="13">
        <f t="shared" si="2"/>
        <v>8</v>
      </c>
      <c r="I92" s="14">
        <v>60</v>
      </c>
      <c r="J92" s="15">
        <f t="shared" si="3"/>
        <v>480</v>
      </c>
    </row>
    <row r="93" spans="2:10" ht="16.8" thickTop="1" thickBot="1">
      <c r="B93" s="10">
        <v>116385204598</v>
      </c>
      <c r="C93" s="16">
        <v>18132</v>
      </c>
      <c r="D93" s="12">
        <v>45708</v>
      </c>
      <c r="E93" s="8">
        <v>45731</v>
      </c>
      <c r="F93" s="8">
        <v>45739</v>
      </c>
      <c r="G93" s="8" t="s">
        <v>15</v>
      </c>
      <c r="H93" s="13">
        <f t="shared" si="2"/>
        <v>8</v>
      </c>
      <c r="I93" s="14">
        <v>48</v>
      </c>
      <c r="J93" s="15">
        <f t="shared" si="3"/>
        <v>384</v>
      </c>
    </row>
    <row r="94" spans="2:10" ht="16.8" thickTop="1" thickBot="1">
      <c r="B94" s="10">
        <v>116355205844</v>
      </c>
      <c r="C94" s="16">
        <v>18133</v>
      </c>
      <c r="D94" s="12">
        <v>45707</v>
      </c>
      <c r="E94" s="8">
        <v>45728</v>
      </c>
      <c r="F94" s="8">
        <v>45739</v>
      </c>
      <c r="G94" s="8" t="s">
        <v>13</v>
      </c>
      <c r="H94" s="13">
        <f t="shared" si="2"/>
        <v>11</v>
      </c>
      <c r="I94" s="14">
        <v>60</v>
      </c>
      <c r="J94" s="15">
        <f t="shared" si="3"/>
        <v>660</v>
      </c>
    </row>
    <row r="95" spans="2:10" ht="16.8" thickTop="1" thickBot="1">
      <c r="B95" s="10">
        <v>116335204135</v>
      </c>
      <c r="C95" s="16">
        <v>18162</v>
      </c>
      <c r="D95" s="12">
        <v>45700</v>
      </c>
      <c r="E95" s="8">
        <v>45735</v>
      </c>
      <c r="F95" s="8">
        <v>45741</v>
      </c>
      <c r="G95" s="8" t="s">
        <v>13</v>
      </c>
      <c r="H95" s="13">
        <f t="shared" si="2"/>
        <v>6</v>
      </c>
      <c r="I95" s="14">
        <v>60</v>
      </c>
      <c r="J95" s="15">
        <f t="shared" si="3"/>
        <v>360</v>
      </c>
    </row>
    <row r="96" spans="2:10" ht="16.8" thickTop="1" thickBot="1">
      <c r="B96" s="10">
        <v>116365208143</v>
      </c>
      <c r="C96" s="16">
        <v>18163</v>
      </c>
      <c r="D96" s="12">
        <v>45712</v>
      </c>
      <c r="E96" s="8">
        <v>45734</v>
      </c>
      <c r="F96" s="8">
        <v>45741</v>
      </c>
      <c r="G96" s="8" t="s">
        <v>13</v>
      </c>
      <c r="H96" s="13">
        <f t="shared" si="2"/>
        <v>7</v>
      </c>
      <c r="I96" s="14">
        <v>60</v>
      </c>
      <c r="J96" s="15">
        <f t="shared" si="3"/>
        <v>420</v>
      </c>
    </row>
    <row r="97" spans="2:10" ht="16.8" thickTop="1" thickBot="1">
      <c r="B97" s="10">
        <v>116305209007</v>
      </c>
      <c r="C97" s="16">
        <v>18164</v>
      </c>
      <c r="D97" s="12">
        <v>45713</v>
      </c>
      <c r="E97" s="8">
        <v>45727</v>
      </c>
      <c r="F97" s="8">
        <v>45741</v>
      </c>
      <c r="G97" s="7" t="s">
        <v>11</v>
      </c>
      <c r="H97" s="13">
        <f t="shared" si="2"/>
        <v>14</v>
      </c>
      <c r="I97" s="14">
        <f>68+32</f>
        <v>100</v>
      </c>
      <c r="J97" s="15">
        <f t="shared" si="3"/>
        <v>1400</v>
      </c>
    </row>
    <row r="98" spans="2:10" ht="16.8" thickTop="1" thickBot="1">
      <c r="B98" s="10">
        <v>115375200912</v>
      </c>
      <c r="C98" s="16">
        <v>18165</v>
      </c>
      <c r="D98" s="12">
        <v>45724</v>
      </c>
      <c r="E98" s="8">
        <v>45734</v>
      </c>
      <c r="F98" s="8">
        <v>45741</v>
      </c>
      <c r="G98" s="8" t="s">
        <v>13</v>
      </c>
      <c r="H98" s="13">
        <f t="shared" si="2"/>
        <v>7</v>
      </c>
      <c r="I98" s="14">
        <v>60</v>
      </c>
      <c r="J98" s="15">
        <f t="shared" si="3"/>
        <v>420</v>
      </c>
    </row>
    <row r="99" spans="2:10" ht="16.2" thickTop="1">
      <c r="B99" s="10">
        <v>116345207090</v>
      </c>
      <c r="C99" s="16">
        <v>18223</v>
      </c>
      <c r="D99" s="12">
        <v>45708</v>
      </c>
      <c r="E99" s="8">
        <v>45734</v>
      </c>
      <c r="F99" s="8">
        <v>45743</v>
      </c>
      <c r="G99" s="8" t="s">
        <v>12</v>
      </c>
      <c r="H99" s="13">
        <f t="shared" si="2"/>
        <v>9</v>
      </c>
      <c r="I99" s="14">
        <f>81+12</f>
        <v>93</v>
      </c>
      <c r="J99" s="15">
        <f t="shared" si="3"/>
        <v>837</v>
      </c>
    </row>
  </sheetData>
  <autoFilter ref="B1:J89" xr:uid="{00000000-0009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'D:\Hotels\Siva Golden Bay\Invoices DEC 24\Biblio -Dec\[Copy of biblio -DEC (2).xlsx]ROOM TYPE'!#REF!</xm:f>
          </x14:formula1>
          <xm:sqref>G59</xm:sqref>
        </x14:dataValidation>
        <x14:dataValidation type="list" allowBlank="1" showInputMessage="1" showErrorMessage="1" xr:uid="{00000000-0002-0000-0000-000001000000}">
          <x14:formula1>
            <xm:f>'C:\Users\Area-Credit2\AppData\Local\Microsoft\Windows\INetCache\Content.Outlook\R4F19B9Y\[biblio Globus.xls]rate code'!#REF!</xm:f>
          </x14:formula1>
          <xm:sqref>G97</xm:sqref>
        </x14:dataValidation>
        <x14:dataValidation type="list" allowBlank="1" showInputMessage="1" showErrorMessage="1" xr:uid="{A843BA5E-97B3-4691-8DF1-B5808ACC7D8F}">
          <x14:formula1>
            <xm:f>'D:\Hotels\Siva Golden Bay\Invoices DEC 24\New Till 31.12\[Copy of EXIM28.xls]ROOM TYPE'!#REF!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C20" sqref="C20"/>
    </sheetView>
  </sheetViews>
  <sheetFormatPr defaultColWidth="9.109375" defaultRowHeight="13.2"/>
  <cols>
    <col min="1" max="1" width="12.5546875" style="23" customWidth="1"/>
    <col min="2" max="2" width="12" style="23" bestFit="1" customWidth="1"/>
    <col min="3" max="3" width="12.33203125" style="23" bestFit="1" customWidth="1"/>
    <col min="4" max="4" width="13.109375" style="23" bestFit="1" customWidth="1"/>
    <col min="5" max="5" width="12.5546875" style="23" bestFit="1" customWidth="1"/>
    <col min="6" max="6" width="11.5546875" style="23" customWidth="1"/>
    <col min="7" max="7" width="17.88671875" style="23" bestFit="1" customWidth="1"/>
    <col min="8" max="8" width="12.5546875" style="23" bestFit="1" customWidth="1"/>
    <col min="9" max="16384" width="9.109375" style="23"/>
  </cols>
  <sheetData>
    <row r="1" spans="1:8" ht="24.9" customHeight="1" thickTop="1" thickBot="1">
      <c r="A1" s="18" t="s">
        <v>5</v>
      </c>
      <c r="B1" s="19" t="s">
        <v>6</v>
      </c>
      <c r="C1" s="20" t="s">
        <v>18</v>
      </c>
      <c r="D1" s="20" t="s">
        <v>16</v>
      </c>
      <c r="E1" s="20" t="s">
        <v>12</v>
      </c>
      <c r="F1" s="21" t="s">
        <v>25</v>
      </c>
      <c r="G1" s="22" t="s">
        <v>26</v>
      </c>
      <c r="H1" s="20"/>
    </row>
    <row r="2" spans="1:8" ht="24.9" customHeight="1" thickTop="1">
      <c r="A2" s="24">
        <v>45139</v>
      </c>
      <c r="B2" s="24">
        <v>45596</v>
      </c>
      <c r="C2" s="25">
        <v>34</v>
      </c>
      <c r="D2" s="25">
        <v>48</v>
      </c>
      <c r="E2" s="25">
        <v>66</v>
      </c>
      <c r="F2" s="26">
        <v>46</v>
      </c>
      <c r="G2" s="26">
        <v>60</v>
      </c>
    </row>
    <row r="3" spans="1:8" ht="24.9" customHeight="1">
      <c r="A3" s="24">
        <v>45597</v>
      </c>
      <c r="B3" s="24">
        <v>45758</v>
      </c>
      <c r="C3" s="25">
        <v>38</v>
      </c>
      <c r="D3" s="25">
        <f>28*2</f>
        <v>56</v>
      </c>
      <c r="E3" s="25">
        <f>26*3</f>
        <v>78</v>
      </c>
      <c r="F3" s="26">
        <f>28+14</f>
        <v>42</v>
      </c>
      <c r="G3" s="26">
        <f>28+28+14</f>
        <v>70</v>
      </c>
    </row>
    <row r="4" spans="1:8" ht="13.8">
      <c r="A4" s="27"/>
      <c r="B4" s="27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'D:\Hotels\Siva Golden Bay\Invoices DEC 24\New Till 31.12\[Copy of EXIM28.xls]ROOM TYPE'!#REF!</xm:f>
          </x14:formula1>
          <xm:sqref>C1:E1 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selection activeCell="D1" sqref="D1"/>
    </sheetView>
  </sheetViews>
  <sheetFormatPr defaultRowHeight="13.2"/>
  <cols>
    <col min="1" max="1" width="11.33203125" bestFit="1" customWidth="1"/>
    <col min="2" max="2" width="12" bestFit="1" customWidth="1"/>
    <col min="3" max="3" width="12.33203125" bestFit="1" customWidth="1"/>
    <col min="4" max="4" width="13.109375" bestFit="1" customWidth="1"/>
    <col min="5" max="5" width="12.5546875" bestFit="1" customWidth="1"/>
    <col min="7" max="7" width="17.88671875" bestFit="1" customWidth="1"/>
    <col min="8" max="8" width="17" bestFit="1" customWidth="1"/>
  </cols>
  <sheetData>
    <row r="1" spans="1:8" s="23" customFormat="1" ht="24.9" customHeight="1" thickTop="1" thickBot="1">
      <c r="A1" s="18" t="s">
        <v>5</v>
      </c>
      <c r="B1" s="19" t="s">
        <v>6</v>
      </c>
      <c r="C1" s="20" t="s">
        <v>18</v>
      </c>
      <c r="D1" s="20" t="s">
        <v>16</v>
      </c>
      <c r="E1" s="20" t="s">
        <v>12</v>
      </c>
      <c r="F1" s="21" t="s">
        <v>25</v>
      </c>
      <c r="G1" s="22" t="s">
        <v>26</v>
      </c>
      <c r="H1" s="22" t="s">
        <v>27</v>
      </c>
    </row>
    <row r="2" spans="1:8" s="23" customFormat="1" ht="24.9" customHeight="1" thickTop="1">
      <c r="A2" s="24">
        <v>45620</v>
      </c>
      <c r="B2" s="24">
        <v>45649</v>
      </c>
      <c r="C2" s="25">
        <f>38*0.8</f>
        <v>30.400000000000002</v>
      </c>
      <c r="D2" s="25">
        <f>56*0.8</f>
        <v>44.800000000000004</v>
      </c>
      <c r="E2" s="25">
        <f>78*0.8</f>
        <v>62.400000000000006</v>
      </c>
      <c r="F2" s="26">
        <f>42*0.8</f>
        <v>33.6</v>
      </c>
      <c r="G2" s="26">
        <f>70*0.8</f>
        <v>56</v>
      </c>
    </row>
    <row r="3" spans="1:8" s="23" customFormat="1" ht="24.9" customHeight="1">
      <c r="A3" s="24">
        <v>45650</v>
      </c>
      <c r="B3" s="24">
        <v>45660</v>
      </c>
      <c r="C3" s="25">
        <v>38</v>
      </c>
      <c r="D3" s="25">
        <f>28*2</f>
        <v>56</v>
      </c>
      <c r="E3" s="25">
        <f>26*3</f>
        <v>78</v>
      </c>
      <c r="F3" s="26">
        <f>28+14</f>
        <v>42</v>
      </c>
      <c r="G3" s="26">
        <f>28+28+14</f>
        <v>70</v>
      </c>
    </row>
    <row r="4" spans="1:8" s="23" customFormat="1" ht="24.9" customHeight="1">
      <c r="A4" s="24">
        <v>45661</v>
      </c>
      <c r="B4" s="24">
        <v>45716</v>
      </c>
      <c r="C4" s="25">
        <f>38*0.8</f>
        <v>30.400000000000002</v>
      </c>
      <c r="D4" s="25">
        <f>56*0.8</f>
        <v>44.800000000000004</v>
      </c>
      <c r="E4" s="25">
        <f>78*0.8</f>
        <v>62.400000000000006</v>
      </c>
      <c r="F4" s="26">
        <f>42*0.8</f>
        <v>33.6</v>
      </c>
      <c r="G4" s="26">
        <f>70*0.8</f>
        <v>56</v>
      </c>
    </row>
    <row r="5" spans="1:8" s="23" customFormat="1"/>
    <row r="6" spans="1:8" s="23" customFormat="1"/>
    <row r="7" spans="1:8" s="23" customFormat="1"/>
    <row r="8" spans="1:8" s="23" customFormat="1"/>
    <row r="9" spans="1:8" s="23" customFormat="1"/>
    <row r="10" spans="1:8" s="23" customFormat="1"/>
    <row r="11" spans="1:8" s="23" customFormat="1"/>
    <row r="12" spans="1:8" s="23" customFormat="1"/>
    <row r="13" spans="1:8" s="23" customFormat="1"/>
    <row r="14" spans="1:8" s="23" customFormat="1"/>
    <row r="15" spans="1:8" s="23" customFormat="1"/>
    <row r="16" spans="1:8" s="23" customFormat="1"/>
    <row r="17" s="23" customFormat="1"/>
    <row r="18" s="23" customFormat="1"/>
    <row r="19" s="23" customFormat="1"/>
    <row r="20" s="23" customFormat="1"/>
    <row r="21" s="23" customFormat="1"/>
    <row r="22" s="23" customFormat="1"/>
    <row r="23" s="23" customFormat="1"/>
    <row r="24" s="23" customFormat="1"/>
    <row r="25" s="23" customFormat="1"/>
    <row r="26" s="23" customFormat="1"/>
    <row r="27" s="23" customFormat="1"/>
    <row r="28" s="23" customFormat="1"/>
    <row r="29" s="23" customFormat="1"/>
    <row r="30" s="23" customFormat="1"/>
    <row r="31" s="23" customFormat="1"/>
    <row r="32" s="23" customFormat="1"/>
    <row r="33" s="23" customFormat="1"/>
    <row r="34" s="23" customFormat="1"/>
    <row r="35" s="23" customFormat="1"/>
    <row r="36" s="23" customFormat="1"/>
    <row r="37" s="23" customFormat="1"/>
    <row r="38" s="23" customFormat="1"/>
    <row r="39" s="23" customFormat="1"/>
    <row r="40" s="23" customFormat="1"/>
    <row r="41" s="23" customFormat="1"/>
    <row r="42" s="23" customFormat="1"/>
    <row r="43" s="23" customFormat="1"/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'D:\Hotels\Siva Golden Bay\Invoices DEC 24\New Till 31.12\[Copy of EXIM28.xls]ROOM TYPE'!#REF!</xm:f>
          </x14:formula1>
          <xm:sqref>C1:E1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statment</vt:lpstr>
      <vt:lpstr>contract</vt:lpstr>
      <vt:lpstr>spo24.11 to 28.02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2025-03-29T17:41:41Z</dcterms:modified>
</cp:coreProperties>
</file>