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4.xml" ContentType="application/vnd.openxmlformats-officedocument.spreadsheetml.externalLink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75" windowWidth="15480" windowHeight="10920"/>
  </bookViews>
  <sheets>
    <sheet name="statment" sheetId="6" r:id="rId1"/>
    <sheet name="contract" sheetId="7" r:id="rId2"/>
    <sheet name="spo from 14.07 to 11.10" sheetId="34" r:id="rId3"/>
    <sheet name="spo from 12.10 to 15.11" sheetId="36" r:id="rId4"/>
    <sheet name="spo from 16.11 to 28.02" sheetId="35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0" hidden="1">statment!$B$1:$J$19</definedName>
  </definedNames>
  <calcPr calcId="124519"/>
</workbook>
</file>

<file path=xl/calcChain.xml><?xml version="1.0" encoding="utf-8"?>
<calcChain xmlns="http://schemas.openxmlformats.org/spreadsheetml/2006/main">
  <c r="I3" i="35"/>
  <c r="I4"/>
  <c r="I5"/>
  <c r="I6"/>
  <c r="I7"/>
  <c r="I2"/>
  <c r="H19" i="6"/>
  <c r="H18"/>
  <c r="H17"/>
  <c r="H16"/>
  <c r="H15"/>
  <c r="H14"/>
  <c r="H13"/>
  <c r="H12"/>
  <c r="H11"/>
  <c r="H10"/>
  <c r="H9"/>
  <c r="H8"/>
  <c r="H7"/>
  <c r="H6"/>
  <c r="H5"/>
  <c r="H4"/>
  <c r="H3"/>
  <c r="H2"/>
  <c r="J12" i="34" l="1"/>
  <c r="I12"/>
  <c r="G12"/>
  <c r="F12"/>
  <c r="E12"/>
  <c r="H12" s="1"/>
  <c r="D12"/>
  <c r="H11"/>
  <c r="F11"/>
  <c r="E11"/>
  <c r="D11"/>
  <c r="J11" s="1"/>
  <c r="H10"/>
  <c r="G10"/>
  <c r="F10"/>
  <c r="D10"/>
  <c r="I10" s="1"/>
  <c r="I9"/>
  <c r="G9"/>
  <c r="F9"/>
  <c r="E9"/>
  <c r="H9" s="1"/>
  <c r="D9"/>
  <c r="J9" s="1"/>
  <c r="H8"/>
  <c r="F8"/>
  <c r="E8"/>
  <c r="D8"/>
  <c r="J8" s="1"/>
  <c r="I7"/>
  <c r="G7"/>
  <c r="F7"/>
  <c r="E7"/>
  <c r="H7" s="1"/>
  <c r="D7"/>
  <c r="J7" s="1"/>
  <c r="J6"/>
  <c r="H6"/>
  <c r="F6"/>
  <c r="E6"/>
  <c r="D6"/>
  <c r="I6" s="1"/>
  <c r="E57" i="7"/>
  <c r="E4" i="36"/>
  <c r="D4"/>
  <c r="I4" s="1"/>
  <c r="H4"/>
  <c r="F4"/>
  <c r="H5"/>
  <c r="H3"/>
  <c r="H2"/>
  <c r="J5"/>
  <c r="I5"/>
  <c r="G5"/>
  <c r="F5"/>
  <c r="J3"/>
  <c r="I3"/>
  <c r="G3"/>
  <c r="F3"/>
  <c r="J2"/>
  <c r="I2"/>
  <c r="G2"/>
  <c r="J3" i="35"/>
  <c r="J4"/>
  <c r="J5"/>
  <c r="J6"/>
  <c r="J7"/>
  <c r="H3"/>
  <c r="H4"/>
  <c r="H5"/>
  <c r="H6"/>
  <c r="H7"/>
  <c r="G3"/>
  <c r="G4"/>
  <c r="G5"/>
  <c r="G6"/>
  <c r="G7"/>
  <c r="G6" i="34" l="1"/>
  <c r="I8"/>
  <c r="I11"/>
  <c r="G8"/>
  <c r="J10"/>
  <c r="G11"/>
  <c r="G4" i="36"/>
  <c r="J4"/>
  <c r="F4" i="35"/>
  <c r="F5"/>
  <c r="F6"/>
  <c r="F7"/>
  <c r="F3"/>
  <c r="E5"/>
  <c r="D5"/>
  <c r="F2"/>
  <c r="E2"/>
  <c r="H2" s="1"/>
  <c r="D2"/>
  <c r="G2" s="1"/>
  <c r="H10" i="7"/>
  <c r="H11"/>
  <c r="H12"/>
  <c r="H13"/>
  <c r="H14"/>
  <c r="H9"/>
  <c r="H8"/>
  <c r="G10"/>
  <c r="G11"/>
  <c r="G12"/>
  <c r="G13"/>
  <c r="G14"/>
  <c r="G9"/>
  <c r="G8"/>
  <c r="F14"/>
  <c r="F13"/>
  <c r="F12"/>
  <c r="F11"/>
  <c r="F10"/>
  <c r="F9"/>
  <c r="F8"/>
  <c r="E14"/>
  <c r="E13"/>
  <c r="E11"/>
  <c r="E10"/>
  <c r="E9"/>
  <c r="E8"/>
  <c r="D14"/>
  <c r="D13"/>
  <c r="D12"/>
  <c r="D11"/>
  <c r="D10"/>
  <c r="D9"/>
  <c r="D8"/>
  <c r="J2" i="35" l="1"/>
  <c r="J14" i="7"/>
  <c r="I14"/>
  <c r="J13" l="1"/>
  <c r="I13"/>
  <c r="J12"/>
  <c r="I12"/>
  <c r="J11"/>
  <c r="I11"/>
  <c r="J10"/>
  <c r="I10"/>
  <c r="J9"/>
  <c r="I9"/>
  <c r="J8"/>
  <c r="I8"/>
  <c r="I3" i="34" l="1"/>
  <c r="I4"/>
  <c r="I5"/>
  <c r="I2"/>
  <c r="G3"/>
  <c r="G4"/>
  <c r="G5"/>
  <c r="G2"/>
  <c r="F4" l="1"/>
  <c r="F5"/>
  <c r="F3"/>
  <c r="J2"/>
  <c r="J5" l="1"/>
  <c r="J4"/>
  <c r="J3"/>
  <c r="J3" i="7"/>
  <c r="J4"/>
  <c r="J5"/>
  <c r="J6"/>
  <c r="J7"/>
  <c r="J2"/>
  <c r="I3" l="1"/>
  <c r="I4"/>
  <c r="I5"/>
  <c r="I6"/>
  <c r="I7"/>
  <c r="I2"/>
</calcChain>
</file>

<file path=xl/sharedStrings.xml><?xml version="1.0" encoding="utf-8"?>
<sst xmlns="http://schemas.openxmlformats.org/spreadsheetml/2006/main" count="71" uniqueCount="21">
  <si>
    <t>Night</t>
  </si>
  <si>
    <t>Arrival</t>
  </si>
  <si>
    <t>Departure</t>
  </si>
  <si>
    <t>Rate code</t>
  </si>
  <si>
    <t>Amount-hotel</t>
  </si>
  <si>
    <t>first date</t>
  </si>
  <si>
    <t>second date</t>
  </si>
  <si>
    <t>Rate $</t>
  </si>
  <si>
    <t>Res_date</t>
  </si>
  <si>
    <t>Booking No.</t>
  </si>
  <si>
    <t>Invoice No.</t>
  </si>
  <si>
    <t>SGL-BUN</t>
  </si>
  <si>
    <t>SGL-CH</t>
  </si>
  <si>
    <t>DBL-BUN+CH</t>
  </si>
  <si>
    <t xml:space="preserve">TPL-BUNG </t>
  </si>
  <si>
    <t xml:space="preserve">DBL-DEX </t>
  </si>
  <si>
    <t>TPL-DEX</t>
  </si>
  <si>
    <t>SGL-DEX</t>
  </si>
  <si>
    <t xml:space="preserve">DBL-BUNG </t>
  </si>
  <si>
    <t>60-76</t>
  </si>
  <si>
    <t>102-126</t>
  </si>
</sst>
</file>

<file path=xl/styles.xml><?xml version="1.0" encoding="utf-8"?>
<styleSheet xmlns="http://schemas.openxmlformats.org/spreadsheetml/2006/main">
  <numFmts count="2">
    <numFmt numFmtId="164" formatCode="_-* #,##0.00_-;_-* #,##0.00\-;_-* &quot;-&quot;??_-;_-@_-"/>
    <numFmt numFmtId="165" formatCode="dd/mm/yyyy;@"/>
  </numFmts>
  <fonts count="15">
    <font>
      <sz val="10"/>
      <name val="Arial"/>
      <charset val="178"/>
    </font>
    <font>
      <sz val="10"/>
      <name val="Arial"/>
      <family val="2"/>
    </font>
    <font>
      <sz val="8"/>
      <color indexed="8"/>
      <name val="MS Sans Serif"/>
      <family val="2"/>
      <charset val="178"/>
    </font>
    <font>
      <b/>
      <sz val="14"/>
      <color indexed="18"/>
      <name val="Times New Roman"/>
      <family val="1"/>
    </font>
    <font>
      <sz val="10"/>
      <name val="Arial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78"/>
      <scheme val="minor"/>
    </font>
    <font>
      <sz val="11"/>
      <color theme="1"/>
      <name val="Arial"/>
      <family val="2"/>
    </font>
    <font>
      <sz val="11"/>
      <color rgb="FF7D353B"/>
      <name val="Courier New"/>
      <family val="3"/>
    </font>
    <font>
      <sz val="11"/>
      <name val="Arial"/>
      <family val="2"/>
    </font>
    <font>
      <b/>
      <u/>
      <sz val="11"/>
      <color theme="1"/>
      <name val="Arial"/>
      <family val="2"/>
    </font>
    <font>
      <b/>
      <u/>
      <sz val="11"/>
      <name val="Arial"/>
      <family val="2"/>
    </font>
    <font>
      <b/>
      <sz val="11"/>
      <color theme="1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5" tint="0.79998168889431442"/>
        <bgColor rgb="FF92D05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rgb="FF92D05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ck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auto="1"/>
      </left>
      <right style="double">
        <color auto="1"/>
      </right>
      <top/>
      <bottom style="hair">
        <color auto="1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</cellStyleXfs>
  <cellXfs count="4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8" fillId="2" borderId="0" xfId="0" applyFont="1" applyFill="1"/>
    <xf numFmtId="0" fontId="3" fillId="4" borderId="1" xfId="0" applyFont="1" applyFill="1" applyBorder="1" applyAlignment="1">
      <alignment horizontal="center" vertical="center"/>
    </xf>
    <xf numFmtId="0" fontId="7" fillId="6" borderId="4" xfId="0" applyNumberFormat="1" applyFont="1" applyFill="1" applyBorder="1" applyAlignment="1">
      <alignment horizontal="center"/>
    </xf>
    <xf numFmtId="0" fontId="7" fillId="5" borderId="4" xfId="0" applyNumberFormat="1" applyFont="1" applyFill="1" applyBorder="1" applyAlignment="1">
      <alignment horizontal="center"/>
    </xf>
    <xf numFmtId="0" fontId="7" fillId="7" borderId="4" xfId="0" applyNumberFormat="1" applyFont="1" applyFill="1" applyBorder="1" applyAlignment="1">
      <alignment horizontal="center"/>
    </xf>
    <xf numFmtId="14" fontId="7" fillId="0" borderId="4" xfId="0" applyNumberFormat="1" applyFont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0" fillId="0" borderId="3" xfId="0" applyNumberFormat="1" applyFont="1" applyBorder="1" applyAlignment="1">
      <alignment horizontal="center" vertical="center"/>
    </xf>
    <xf numFmtId="0" fontId="11" fillId="0" borderId="3" xfId="0" applyNumberFormat="1" applyFont="1" applyBorder="1" applyAlignment="1">
      <alignment horizontal="center"/>
    </xf>
    <xf numFmtId="0" fontId="7" fillId="0" borderId="5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/>
    <xf numFmtId="0" fontId="12" fillId="3" borderId="7" xfId="0" applyNumberFormat="1" applyFont="1" applyFill="1" applyBorder="1" applyAlignment="1">
      <alignment horizontal="center"/>
    </xf>
    <xf numFmtId="14" fontId="7" fillId="0" borderId="3" xfId="0" applyNumberFormat="1" applyFont="1" applyBorder="1"/>
    <xf numFmtId="0" fontId="7" fillId="3" borderId="3" xfId="0" applyNumberFormat="1" applyFont="1" applyFill="1" applyBorder="1" applyAlignment="1">
      <alignment horizontal="center"/>
    </xf>
    <xf numFmtId="0" fontId="7" fillId="9" borderId="3" xfId="0" applyNumberFormat="1" applyFont="1" applyFill="1" applyBorder="1" applyAlignment="1">
      <alignment horizontal="center"/>
    </xf>
    <xf numFmtId="14" fontId="7" fillId="0" borderId="4" xfId="0" applyNumberFormat="1" applyFont="1" applyBorder="1"/>
    <xf numFmtId="0" fontId="7" fillId="3" borderId="4" xfId="0" applyNumberFormat="1" applyFont="1" applyFill="1" applyBorder="1" applyAlignment="1">
      <alignment horizontal="center"/>
    </xf>
    <xf numFmtId="0" fontId="7" fillId="9" borderId="4" xfId="0" applyNumberFormat="1" applyFont="1" applyFill="1" applyBorder="1" applyAlignment="1">
      <alignment horizontal="center"/>
    </xf>
    <xf numFmtId="0" fontId="2" fillId="0" borderId="0" xfId="0" applyNumberFormat="1" applyFont="1" applyFill="1" applyAlignment="1">
      <alignment horizontal="center"/>
    </xf>
    <xf numFmtId="0" fontId="0" fillId="0" borderId="0" xfId="0" applyFill="1"/>
    <xf numFmtId="14" fontId="13" fillId="4" borderId="8" xfId="0" applyNumberFormat="1" applyFont="1" applyFill="1" applyBorder="1" applyAlignment="1">
      <alignment horizontal="center"/>
    </xf>
    <xf numFmtId="16" fontId="0" fillId="0" borderId="0" xfId="0" applyNumberFormat="1"/>
    <xf numFmtId="0" fontId="7" fillId="3" borderId="9" xfId="0" applyNumberFormat="1" applyFont="1" applyFill="1" applyBorder="1" applyAlignment="1">
      <alignment horizontal="center"/>
    </xf>
    <xf numFmtId="14" fontId="0" fillId="0" borderId="0" xfId="0" applyNumberFormat="1"/>
    <xf numFmtId="165" fontId="5" fillId="4" borderId="2" xfId="0" applyNumberFormat="1" applyFont="1" applyFill="1" applyBorder="1" applyAlignment="1">
      <alignment horizontal="center"/>
    </xf>
    <xf numFmtId="164" fontId="0" fillId="0" borderId="0" xfId="1" applyFont="1"/>
    <xf numFmtId="1" fontId="13" fillId="10" borderId="10" xfId="0" applyNumberFormat="1" applyFont="1" applyFill="1" applyBorder="1" applyAlignment="1">
      <alignment horizontal="center"/>
    </xf>
    <xf numFmtId="0" fontId="13" fillId="10" borderId="3" xfId="0" applyNumberFormat="1" applyFont="1" applyFill="1" applyBorder="1" applyAlignment="1">
      <alignment horizontal="center"/>
    </xf>
    <xf numFmtId="165" fontId="14" fillId="11" borderId="10" xfId="0" applyNumberFormat="1" applyFont="1" applyFill="1" applyBorder="1" applyAlignment="1">
      <alignment horizontal="center" vertical="center"/>
    </xf>
    <xf numFmtId="165" fontId="5" fillId="4" borderId="10" xfId="0" applyNumberFormat="1" applyFont="1" applyFill="1" applyBorder="1" applyAlignment="1">
      <alignment horizontal="center"/>
    </xf>
    <xf numFmtId="3" fontId="13" fillId="0" borderId="10" xfId="1" applyNumberFormat="1" applyFont="1" applyFill="1" applyBorder="1" applyAlignment="1">
      <alignment horizontal="center"/>
    </xf>
    <xf numFmtId="164" fontId="13" fillId="0" borderId="3" xfId="1" applyFont="1" applyFill="1" applyBorder="1" applyAlignment="1">
      <alignment horizontal="right" vertical="center"/>
    </xf>
    <xf numFmtId="164" fontId="13" fillId="0" borderId="3" xfId="0" applyNumberFormat="1" applyFont="1" applyFill="1" applyBorder="1" applyAlignment="1">
      <alignment horizontal="center" vertical="center"/>
    </xf>
    <xf numFmtId="1" fontId="13" fillId="10" borderId="4" xfId="0" applyNumberFormat="1" applyFont="1" applyFill="1" applyBorder="1" applyAlignment="1">
      <alignment horizontal="center"/>
    </xf>
    <xf numFmtId="0" fontId="13" fillId="10" borderId="4" xfId="0" applyNumberFormat="1" applyFont="1" applyFill="1" applyBorder="1" applyAlignment="1">
      <alignment horizontal="center"/>
    </xf>
    <xf numFmtId="165" fontId="14" fillId="11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horizontal="center"/>
    </xf>
    <xf numFmtId="3" fontId="13" fillId="0" borderId="4" xfId="1" applyNumberFormat="1" applyFont="1" applyFill="1" applyBorder="1" applyAlignment="1">
      <alignment horizontal="center"/>
    </xf>
    <xf numFmtId="164" fontId="13" fillId="0" borderId="4" xfId="1" applyFont="1" applyFill="1" applyBorder="1" applyAlignment="1">
      <alignment horizontal="right" vertical="center"/>
    </xf>
    <xf numFmtId="164" fontId="13" fillId="0" borderId="4" xfId="0" applyNumberFormat="1" applyFont="1" applyFill="1" applyBorder="1" applyAlignment="1">
      <alignment horizontal="center" vertical="center"/>
    </xf>
  </cellXfs>
  <cellStyles count="44">
    <cellStyle name="Comma" xfId="1" builtinId="3"/>
    <cellStyle name="Normal" xfId="0" builtinId="0"/>
    <cellStyle name="Normal 10 2" xfId="2"/>
    <cellStyle name="Normal 10 3" xfId="3"/>
    <cellStyle name="Normal 10 4" xfId="4"/>
    <cellStyle name="Normal 140" xfId="5"/>
    <cellStyle name="Normal 148" xfId="6"/>
    <cellStyle name="Normal 149" xfId="7"/>
    <cellStyle name="Normal 151" xfId="8"/>
    <cellStyle name="Normal 152" xfId="40"/>
    <cellStyle name="Normal 153" xfId="9"/>
    <cellStyle name="Normal 154" xfId="10"/>
    <cellStyle name="Normal 157" xfId="38"/>
    <cellStyle name="Normal 158" xfId="39"/>
    <cellStyle name="Normal 159" xfId="11"/>
    <cellStyle name="Normal 160" xfId="12"/>
    <cellStyle name="Normal 162" xfId="13"/>
    <cellStyle name="Normal 163" xfId="14"/>
    <cellStyle name="Normal 165" xfId="15"/>
    <cellStyle name="Normal 166" xfId="16"/>
    <cellStyle name="Normal 19 2" xfId="17"/>
    <cellStyle name="Normal 19 3" xfId="18"/>
    <cellStyle name="Normal 19 4" xfId="19"/>
    <cellStyle name="Normal 2" xfId="43"/>
    <cellStyle name="Normal 2 2" xfId="20"/>
    <cellStyle name="Normal 2 3" xfId="21"/>
    <cellStyle name="Normal 2 4" xfId="22"/>
    <cellStyle name="Normal 20 2" xfId="23"/>
    <cellStyle name="Normal 20 3" xfId="24"/>
    <cellStyle name="Normal 20 4" xfId="25"/>
    <cellStyle name="Normal 23 2" xfId="26"/>
    <cellStyle name="Normal 23 3" xfId="27"/>
    <cellStyle name="Normal 23 4" xfId="28"/>
    <cellStyle name="Normal 3" xfId="41"/>
    <cellStyle name="Normal 37 2" xfId="29"/>
    <cellStyle name="Normal 37 3" xfId="30"/>
    <cellStyle name="Normal 37 4" xfId="31"/>
    <cellStyle name="Normal 38 2" xfId="32"/>
    <cellStyle name="Normal 38 3" xfId="33"/>
    <cellStyle name="Normal 38 4" xfId="34"/>
    <cellStyle name="Normal 5" xfId="42"/>
    <cellStyle name="Normal 9 2" xfId="35"/>
    <cellStyle name="Normal 9 3" xfId="36"/>
    <cellStyle name="Normal 9 4" xfId="37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3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438150</xdr:colOff>
      <xdr:row>28</xdr:row>
      <xdr:rowOff>19050</xdr:rowOff>
    </xdr:from>
    <xdr:to>
      <xdr:col>20</xdr:col>
      <xdr:colOff>123825</xdr:colOff>
      <xdr:row>45</xdr:row>
      <xdr:rowOff>0</xdr:rowOff>
    </xdr:to>
    <xdr:pic>
      <xdr:nvPicPr>
        <xdr:cNvPr id="2049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820150" y="4886325"/>
          <a:ext cx="7991475" cy="2733675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19050</xdr:colOff>
      <xdr:row>27</xdr:row>
      <xdr:rowOff>28575</xdr:rowOff>
    </xdr:from>
    <xdr:to>
      <xdr:col>8</xdr:col>
      <xdr:colOff>39273</xdr:colOff>
      <xdr:row>49</xdr:row>
      <xdr:rowOff>57651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4733925"/>
          <a:ext cx="8402223" cy="35914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17</xdr:row>
      <xdr:rowOff>47625</xdr:rowOff>
    </xdr:from>
    <xdr:to>
      <xdr:col>7</xdr:col>
      <xdr:colOff>1029683</xdr:colOff>
      <xdr:row>32</xdr:row>
      <xdr:rowOff>76543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5825" y="1609725"/>
          <a:ext cx="7039958" cy="245779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</xdr:row>
      <xdr:rowOff>0</xdr:rowOff>
    </xdr:from>
    <xdr:to>
      <xdr:col>12</xdr:col>
      <xdr:colOff>391899</xdr:colOff>
      <xdr:row>41</xdr:row>
      <xdr:rowOff>66730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7350" y="5305425"/>
          <a:ext cx="9840699" cy="3905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20</xdr:row>
      <xdr:rowOff>0</xdr:rowOff>
    </xdr:from>
    <xdr:to>
      <xdr:col>13</xdr:col>
      <xdr:colOff>76737</xdr:colOff>
      <xdr:row>35</xdr:row>
      <xdr:rowOff>143234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43850" y="3514725"/>
          <a:ext cx="3848637" cy="25721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1104900</xdr:colOff>
      <xdr:row>8</xdr:row>
      <xdr:rowOff>142875</xdr:rowOff>
    </xdr:from>
    <xdr:to>
      <xdr:col>20</xdr:col>
      <xdr:colOff>105758</xdr:colOff>
      <xdr:row>24</xdr:row>
      <xdr:rowOff>9868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48750" y="1562100"/>
          <a:ext cx="7039958" cy="2457793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8</xdr:row>
      <xdr:rowOff>114300</xdr:rowOff>
    </xdr:from>
    <xdr:to>
      <xdr:col>7</xdr:col>
      <xdr:colOff>715398</xdr:colOff>
      <xdr:row>48</xdr:row>
      <xdr:rowOff>38994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" y="1533525"/>
          <a:ext cx="7325748" cy="6401694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22</xdr:col>
      <xdr:colOff>468083</xdr:colOff>
      <xdr:row>37</xdr:row>
      <xdr:rowOff>76233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43850" y="5953125"/>
          <a:ext cx="9726383" cy="238158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52</xdr:row>
      <xdr:rowOff>0</xdr:rowOff>
    </xdr:from>
    <xdr:to>
      <xdr:col>14</xdr:col>
      <xdr:colOff>153765</xdr:colOff>
      <xdr:row>53</xdr:row>
      <xdr:rowOff>85760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05100" y="8543925"/>
          <a:ext cx="9774015" cy="247685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142875</xdr:colOff>
      <xdr:row>6</xdr:row>
      <xdr:rowOff>95250</xdr:rowOff>
    </xdr:from>
    <xdr:to>
      <xdr:col>8</xdr:col>
      <xdr:colOff>744143</xdr:colOff>
      <xdr:row>8</xdr:row>
      <xdr:rowOff>57190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2875" y="1190625"/>
          <a:ext cx="8545118" cy="2857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657225</xdr:colOff>
      <xdr:row>8</xdr:row>
      <xdr:rowOff>133350</xdr:rowOff>
    </xdr:from>
    <xdr:to>
      <xdr:col>6</xdr:col>
      <xdr:colOff>172199</xdr:colOff>
      <xdr:row>24</xdr:row>
      <xdr:rowOff>95606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7225" y="1390650"/>
          <a:ext cx="5363324" cy="25530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tels/Siva%20Golden%20Bay/Invoices%20DEC%2024/New%20Till%2028.12/Anex-DEC%20till%202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rea-Credit2\AppData\Local\Microsoft\Windows\INetCache\Content.Outlook\R4F19B9Y\biblio%20Globu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rea-Credit2\AppData\Local\Microsoft\Windows\INetCache\Content.Outlook\R4F19B9Y\biblio%20-DEC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tels/Siva%20Golden%20Bay/Invoices%20DEC%2024/Biblio%20-Dec/Copy%20of%20biblio%20-DEC%20(2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c 24"/>
      <sheetName val="ROOM TYPE"/>
      <sheetName val="system"/>
      <sheetName val="Dec 24 (2)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Feb 2024"/>
      <sheetName val="rate code"/>
      <sheetName val="tax 19.03"/>
      <sheetName val="mar 2024"/>
      <sheetName val="tax 24.03"/>
    </sheetNames>
    <sheetDataSet>
      <sheetData sheetId="0" refreshError="1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ec 24"/>
      <sheetName val="ROOM TYPE"/>
    </sheetNames>
    <sheetDataSet>
      <sheetData sheetId="0"/>
      <sheetData sheetId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ec 24"/>
      <sheetName val="ROOM TYPE"/>
      <sheetName val="system"/>
    </sheetNames>
    <sheetDataSet>
      <sheetData sheetId="0" refreshError="1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9"/>
  <sheetViews>
    <sheetView tabSelected="1" workbookViewId="0">
      <selection activeCell="D1" sqref="D1"/>
    </sheetView>
  </sheetViews>
  <sheetFormatPr defaultRowHeight="12.75"/>
  <cols>
    <col min="1" max="1" width="20.7109375" customWidth="1"/>
    <col min="2" max="2" width="24.28515625" bestFit="1" customWidth="1"/>
    <col min="3" max="3" width="20.7109375" customWidth="1"/>
    <col min="4" max="4" width="18.42578125" bestFit="1" customWidth="1"/>
    <col min="5" max="6" width="20.7109375" customWidth="1"/>
    <col min="7" max="7" width="24" bestFit="1" customWidth="1"/>
    <col min="8" max="10" width="20.7109375" customWidth="1"/>
  </cols>
  <sheetData>
    <row r="1" spans="1:10" ht="20.25" thickTop="1" thickBot="1">
      <c r="B1" s="3" t="s">
        <v>9</v>
      </c>
      <c r="C1" s="3" t="s">
        <v>10</v>
      </c>
      <c r="D1" s="2" t="s">
        <v>8</v>
      </c>
      <c r="E1" s="1" t="s">
        <v>1</v>
      </c>
      <c r="F1" s="1" t="s">
        <v>2</v>
      </c>
      <c r="G1" s="1" t="s">
        <v>3</v>
      </c>
      <c r="H1" s="3" t="s">
        <v>0</v>
      </c>
      <c r="I1" s="3" t="s">
        <v>7</v>
      </c>
      <c r="J1" s="1" t="s">
        <v>4</v>
      </c>
    </row>
    <row r="2" spans="1:10" s="21" customFormat="1" ht="16.5" thickTop="1">
      <c r="A2" s="20"/>
      <c r="B2" s="28">
        <v>10918056</v>
      </c>
      <c r="C2" s="29">
        <v>13503</v>
      </c>
      <c r="D2" s="30">
        <v>45604</v>
      </c>
      <c r="E2" s="31">
        <v>45619</v>
      </c>
      <c r="F2" s="31">
        <v>45629</v>
      </c>
      <c r="G2" s="31" t="s">
        <v>17</v>
      </c>
      <c r="H2" s="32">
        <f t="shared" ref="H2:H19" si="0">+F2-E2</f>
        <v>10</v>
      </c>
      <c r="I2" s="33">
        <v>58</v>
      </c>
      <c r="J2" s="34">
        <v>580</v>
      </c>
    </row>
    <row r="3" spans="1:10" s="21" customFormat="1" ht="15.75">
      <c r="A3" s="20"/>
      <c r="B3" s="35">
        <v>10929447</v>
      </c>
      <c r="C3" s="36">
        <v>13688</v>
      </c>
      <c r="D3" s="37">
        <v>45611</v>
      </c>
      <c r="E3" s="38">
        <v>45627</v>
      </c>
      <c r="F3" s="38">
        <v>45634</v>
      </c>
      <c r="G3" s="38" t="s">
        <v>15</v>
      </c>
      <c r="H3" s="39">
        <f t="shared" si="0"/>
        <v>7</v>
      </c>
      <c r="I3" s="40">
        <v>72</v>
      </c>
      <c r="J3" s="41">
        <v>504</v>
      </c>
    </row>
    <row r="4" spans="1:10" ht="15.75">
      <c r="B4" s="35">
        <v>10944993</v>
      </c>
      <c r="C4" s="36">
        <v>13778</v>
      </c>
      <c r="D4" s="37">
        <v>45618</v>
      </c>
      <c r="E4" s="38">
        <v>45625</v>
      </c>
      <c r="F4" s="38">
        <v>45637</v>
      </c>
      <c r="G4" s="38" t="s">
        <v>15</v>
      </c>
      <c r="H4" s="39">
        <f t="shared" si="0"/>
        <v>12</v>
      </c>
      <c r="I4" s="40">
        <v>60</v>
      </c>
      <c r="J4" s="41">
        <v>720</v>
      </c>
    </row>
    <row r="5" spans="1:10" ht="15.75">
      <c r="B5" s="35">
        <v>10948811</v>
      </c>
      <c r="C5" s="36">
        <v>13784</v>
      </c>
      <c r="D5" s="37">
        <v>45622</v>
      </c>
      <c r="E5" s="38">
        <v>45627</v>
      </c>
      <c r="F5" s="38">
        <v>45637</v>
      </c>
      <c r="G5" s="38" t="s">
        <v>16</v>
      </c>
      <c r="H5" s="39">
        <f t="shared" si="0"/>
        <v>10</v>
      </c>
      <c r="I5" s="40">
        <v>81</v>
      </c>
      <c r="J5" s="41">
        <v>810</v>
      </c>
    </row>
    <row r="6" spans="1:10" ht="15.75">
      <c r="B6" s="35">
        <v>10947743</v>
      </c>
      <c r="C6" s="36">
        <v>13836</v>
      </c>
      <c r="D6" s="37">
        <v>45621</v>
      </c>
      <c r="E6" s="38">
        <v>45627</v>
      </c>
      <c r="F6" s="38">
        <v>45638</v>
      </c>
      <c r="G6" s="38" t="s">
        <v>15</v>
      </c>
      <c r="H6" s="39">
        <f t="shared" si="0"/>
        <v>11</v>
      </c>
      <c r="I6" s="40">
        <v>60</v>
      </c>
      <c r="J6" s="41">
        <v>660</v>
      </c>
    </row>
    <row r="7" spans="1:10" ht="15.75">
      <c r="B7" s="35">
        <v>10947678</v>
      </c>
      <c r="C7" s="36">
        <v>13837</v>
      </c>
      <c r="D7" s="37">
        <v>45621</v>
      </c>
      <c r="E7" s="38">
        <v>45627</v>
      </c>
      <c r="F7" s="38">
        <v>45638</v>
      </c>
      <c r="G7" s="38" t="s">
        <v>15</v>
      </c>
      <c r="H7" s="39">
        <f t="shared" si="0"/>
        <v>11</v>
      </c>
      <c r="I7" s="40">
        <v>60</v>
      </c>
      <c r="J7" s="41">
        <v>660</v>
      </c>
    </row>
    <row r="8" spans="1:10" ht="15.75">
      <c r="B8" s="35">
        <v>10947681</v>
      </c>
      <c r="C8" s="36">
        <v>13838</v>
      </c>
      <c r="D8" s="37">
        <v>45621</v>
      </c>
      <c r="E8" s="38">
        <v>45627</v>
      </c>
      <c r="F8" s="38">
        <v>45638</v>
      </c>
      <c r="G8" s="38" t="s">
        <v>17</v>
      </c>
      <c r="H8" s="39">
        <f t="shared" si="0"/>
        <v>11</v>
      </c>
      <c r="I8" s="40">
        <v>48</v>
      </c>
      <c r="J8" s="41">
        <v>528</v>
      </c>
    </row>
    <row r="9" spans="1:10" ht="15.75">
      <c r="B9" s="35">
        <v>10948453</v>
      </c>
      <c r="C9" s="36">
        <v>13839</v>
      </c>
      <c r="D9" s="37">
        <v>45621</v>
      </c>
      <c r="E9" s="38">
        <v>45627</v>
      </c>
      <c r="F9" s="38">
        <v>45638</v>
      </c>
      <c r="G9" s="38" t="s">
        <v>15</v>
      </c>
      <c r="H9" s="39">
        <f t="shared" si="0"/>
        <v>11</v>
      </c>
      <c r="I9" s="40">
        <v>60</v>
      </c>
      <c r="J9" s="41">
        <v>660</v>
      </c>
    </row>
    <row r="10" spans="1:10" ht="15.75">
      <c r="B10" s="35">
        <v>10952417</v>
      </c>
      <c r="C10" s="36">
        <v>13913</v>
      </c>
      <c r="D10" s="37">
        <v>45624</v>
      </c>
      <c r="E10" s="38">
        <v>45636</v>
      </c>
      <c r="F10" s="38">
        <v>45640</v>
      </c>
      <c r="G10" s="38" t="s">
        <v>17</v>
      </c>
      <c r="H10" s="39">
        <f t="shared" si="0"/>
        <v>4</v>
      </c>
      <c r="I10" s="40">
        <v>48</v>
      </c>
      <c r="J10" s="41">
        <v>192</v>
      </c>
    </row>
    <row r="11" spans="1:10" ht="15.75">
      <c r="B11" s="35">
        <v>10829403</v>
      </c>
      <c r="C11" s="36">
        <v>13970</v>
      </c>
      <c r="D11" s="37">
        <v>45566</v>
      </c>
      <c r="E11" s="38">
        <v>45634</v>
      </c>
      <c r="F11" s="38">
        <v>45641</v>
      </c>
      <c r="G11" s="38" t="s">
        <v>15</v>
      </c>
      <c r="H11" s="39">
        <f t="shared" si="0"/>
        <v>7</v>
      </c>
      <c r="I11" s="40">
        <v>72</v>
      </c>
      <c r="J11" s="41">
        <v>504</v>
      </c>
    </row>
    <row r="12" spans="1:10" ht="15.75">
      <c r="B12" s="35">
        <v>10953390</v>
      </c>
      <c r="C12" s="36">
        <v>13971</v>
      </c>
      <c r="D12" s="37">
        <v>45624</v>
      </c>
      <c r="E12" s="38">
        <v>45634</v>
      </c>
      <c r="F12" s="38">
        <v>45641</v>
      </c>
      <c r="G12" s="38" t="s">
        <v>15</v>
      </c>
      <c r="H12" s="39">
        <f t="shared" si="0"/>
        <v>7</v>
      </c>
      <c r="I12" s="40">
        <v>60</v>
      </c>
      <c r="J12" s="41">
        <v>420</v>
      </c>
    </row>
    <row r="13" spans="1:10" ht="15.75">
      <c r="B13" s="35">
        <v>10955653</v>
      </c>
      <c r="C13" s="36">
        <v>13972</v>
      </c>
      <c r="D13" s="37">
        <v>45625</v>
      </c>
      <c r="E13" s="38">
        <v>45631</v>
      </c>
      <c r="F13" s="38">
        <v>45641</v>
      </c>
      <c r="G13" s="38" t="s">
        <v>18</v>
      </c>
      <c r="H13" s="39">
        <f t="shared" si="0"/>
        <v>10</v>
      </c>
      <c r="I13" s="40">
        <v>92.5</v>
      </c>
      <c r="J13" s="41">
        <v>925</v>
      </c>
    </row>
    <row r="14" spans="1:10" ht="15.75">
      <c r="B14" s="35">
        <v>5815118</v>
      </c>
      <c r="C14" s="36">
        <v>14216</v>
      </c>
      <c r="D14" s="37">
        <v>45645</v>
      </c>
      <c r="E14" s="38">
        <v>45646</v>
      </c>
      <c r="F14" s="38">
        <v>45647</v>
      </c>
      <c r="G14" s="38" t="s">
        <v>18</v>
      </c>
      <c r="H14" s="39">
        <f t="shared" si="0"/>
        <v>1</v>
      </c>
      <c r="I14" s="40">
        <v>74</v>
      </c>
      <c r="J14" s="41">
        <v>74</v>
      </c>
    </row>
    <row r="15" spans="1:10" ht="15.75">
      <c r="B15" s="35">
        <v>10963297</v>
      </c>
      <c r="C15" s="36">
        <v>14265</v>
      </c>
      <c r="D15" s="37">
        <v>45633</v>
      </c>
      <c r="E15" s="38">
        <v>45636</v>
      </c>
      <c r="F15" s="38">
        <v>45648</v>
      </c>
      <c r="G15" s="38" t="s">
        <v>15</v>
      </c>
      <c r="H15" s="39">
        <f t="shared" si="0"/>
        <v>12</v>
      </c>
      <c r="I15" s="40">
        <v>60</v>
      </c>
      <c r="J15" s="41">
        <v>720</v>
      </c>
    </row>
    <row r="16" spans="1:10" ht="15.75">
      <c r="B16" s="35">
        <v>10939665</v>
      </c>
      <c r="C16" s="36">
        <v>14357</v>
      </c>
      <c r="D16" s="37">
        <v>45615</v>
      </c>
      <c r="E16" s="38">
        <v>45646</v>
      </c>
      <c r="F16" s="38">
        <v>45652</v>
      </c>
      <c r="G16" s="38" t="s">
        <v>15</v>
      </c>
      <c r="H16" s="39">
        <f t="shared" si="0"/>
        <v>6</v>
      </c>
      <c r="I16" s="40" t="s">
        <v>19</v>
      </c>
      <c r="J16" s="41">
        <v>392</v>
      </c>
    </row>
    <row r="17" spans="2:10" ht="15.75">
      <c r="B17" s="35">
        <v>10966256</v>
      </c>
      <c r="C17" s="36">
        <v>14358</v>
      </c>
      <c r="D17" s="37">
        <v>45643</v>
      </c>
      <c r="E17" s="38">
        <v>45642</v>
      </c>
      <c r="F17" s="38">
        <v>45652</v>
      </c>
      <c r="G17" s="38" t="s">
        <v>15</v>
      </c>
      <c r="H17" s="39">
        <f t="shared" si="0"/>
        <v>10</v>
      </c>
      <c r="I17" s="40" t="s">
        <v>19</v>
      </c>
      <c r="J17" s="41">
        <v>632</v>
      </c>
    </row>
    <row r="18" spans="2:10" ht="15.75">
      <c r="B18" s="35">
        <v>10950272</v>
      </c>
      <c r="C18" s="36">
        <v>14433</v>
      </c>
      <c r="D18" s="37">
        <v>45622</v>
      </c>
      <c r="E18" s="38">
        <v>45644</v>
      </c>
      <c r="F18" s="38">
        <v>45653</v>
      </c>
      <c r="G18" s="38" t="s">
        <v>14</v>
      </c>
      <c r="H18" s="39">
        <f t="shared" si="0"/>
        <v>9</v>
      </c>
      <c r="I18" s="40" t="s">
        <v>20</v>
      </c>
      <c r="J18" s="41">
        <v>990</v>
      </c>
    </row>
    <row r="19" spans="2:10" ht="15.75">
      <c r="B19" s="35">
        <v>10945337</v>
      </c>
      <c r="C19" s="36"/>
      <c r="D19" s="37">
        <v>45619</v>
      </c>
      <c r="E19" s="38">
        <v>45647</v>
      </c>
      <c r="F19" s="38">
        <v>45657</v>
      </c>
      <c r="G19" s="38" t="s">
        <v>15</v>
      </c>
      <c r="H19" s="39">
        <f t="shared" si="0"/>
        <v>10</v>
      </c>
      <c r="I19" s="40" t="s">
        <v>19</v>
      </c>
      <c r="J19" s="41">
        <v>712</v>
      </c>
    </row>
  </sheetData>
  <autoFilter ref="B1:J19">
    <filterColumn colId="2"/>
    <filterColumn colId="5"/>
  </autoFilter>
  <dataValidations count="1">
    <dataValidation type="list" allowBlank="1" showInputMessage="1" showErrorMessage="1" sqref="G2:G19">
      <formula1>'[1]ROOM TYPE'!$A$1:$A$24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>
      <selection activeCell="E1" sqref="E1"/>
    </sheetView>
  </sheetViews>
  <sheetFormatPr defaultRowHeight="12.75"/>
  <cols>
    <col min="1" max="8" width="15.7109375" customWidth="1"/>
    <col min="9" max="9" width="24" bestFit="1" customWidth="1"/>
  </cols>
  <sheetData>
    <row r="1" spans="1:10" ht="17.25" thickTop="1" thickBot="1">
      <c r="A1" s="11" t="s">
        <v>5</v>
      </c>
      <c r="B1" s="12" t="s">
        <v>6</v>
      </c>
      <c r="C1" s="26" t="s">
        <v>17</v>
      </c>
      <c r="D1" s="26" t="s">
        <v>15</v>
      </c>
      <c r="E1" s="26" t="s">
        <v>16</v>
      </c>
      <c r="F1" s="13" t="s">
        <v>11</v>
      </c>
      <c r="G1" s="26" t="s">
        <v>18</v>
      </c>
      <c r="H1" s="26" t="s">
        <v>14</v>
      </c>
      <c r="I1" s="22" t="s">
        <v>13</v>
      </c>
      <c r="J1" s="22" t="s">
        <v>12</v>
      </c>
    </row>
    <row r="2" spans="1:10" ht="15" thickTop="1">
      <c r="A2" s="14">
        <v>45413</v>
      </c>
      <c r="B2" s="14">
        <v>45422</v>
      </c>
      <c r="C2" s="15">
        <v>69</v>
      </c>
      <c r="D2" s="15">
        <v>86</v>
      </c>
      <c r="E2" s="15">
        <v>120</v>
      </c>
      <c r="F2" s="15">
        <v>76</v>
      </c>
      <c r="G2" s="15">
        <v>100</v>
      </c>
      <c r="H2" s="16">
        <v>141</v>
      </c>
      <c r="I2">
        <f>+(D2/2)*2.5</f>
        <v>107.5</v>
      </c>
      <c r="J2">
        <f>+(D2/2)*1.5</f>
        <v>64.5</v>
      </c>
    </row>
    <row r="3" spans="1:10" ht="14.25">
      <c r="A3" s="17">
        <v>45423</v>
      </c>
      <c r="B3" s="17">
        <v>45473</v>
      </c>
      <c r="C3" s="18">
        <v>62</v>
      </c>
      <c r="D3" s="18">
        <v>78</v>
      </c>
      <c r="E3" s="18">
        <v>108</v>
      </c>
      <c r="F3" s="18">
        <v>69</v>
      </c>
      <c r="G3" s="18">
        <v>92</v>
      </c>
      <c r="H3" s="19">
        <v>129</v>
      </c>
      <c r="I3">
        <f t="shared" ref="I3:I7" si="0">+(D3/2)*2.5</f>
        <v>97.5</v>
      </c>
      <c r="J3">
        <f t="shared" ref="J3:J7" si="1">+(D3/2)*1.5</f>
        <v>58.5</v>
      </c>
    </row>
    <row r="4" spans="1:10" ht="14.25">
      <c r="A4" s="17">
        <v>45474</v>
      </c>
      <c r="B4" s="17">
        <v>45504</v>
      </c>
      <c r="C4" s="18">
        <v>59</v>
      </c>
      <c r="D4" s="18">
        <v>74</v>
      </c>
      <c r="E4" s="18">
        <v>102</v>
      </c>
      <c r="F4" s="18">
        <v>66</v>
      </c>
      <c r="G4" s="18">
        <v>88</v>
      </c>
      <c r="H4" s="19">
        <v>123</v>
      </c>
      <c r="I4">
        <f t="shared" si="0"/>
        <v>92.5</v>
      </c>
      <c r="J4">
        <f t="shared" si="1"/>
        <v>55.5</v>
      </c>
    </row>
    <row r="5" spans="1:10" ht="14.25">
      <c r="A5" s="17">
        <v>45505</v>
      </c>
      <c r="B5" s="17">
        <v>45535</v>
      </c>
      <c r="C5" s="18">
        <v>80</v>
      </c>
      <c r="D5" s="18">
        <v>100</v>
      </c>
      <c r="E5" s="18">
        <v>141</v>
      </c>
      <c r="F5" s="18">
        <v>87</v>
      </c>
      <c r="G5" s="18">
        <v>114</v>
      </c>
      <c r="H5" s="19">
        <v>162</v>
      </c>
      <c r="I5">
        <f t="shared" si="0"/>
        <v>125</v>
      </c>
      <c r="J5">
        <f t="shared" si="1"/>
        <v>75</v>
      </c>
    </row>
    <row r="6" spans="1:10" ht="14.25">
      <c r="A6" s="17">
        <v>45536</v>
      </c>
      <c r="B6" s="17">
        <v>45565</v>
      </c>
      <c r="C6" s="18">
        <v>59</v>
      </c>
      <c r="D6" s="18">
        <v>74</v>
      </c>
      <c r="E6" s="18">
        <v>102</v>
      </c>
      <c r="F6" s="18">
        <v>66</v>
      </c>
      <c r="G6" s="18">
        <v>88</v>
      </c>
      <c r="H6" s="19">
        <v>123</v>
      </c>
      <c r="I6">
        <f t="shared" si="0"/>
        <v>92.5</v>
      </c>
      <c r="J6">
        <f t="shared" si="1"/>
        <v>55.5</v>
      </c>
    </row>
    <row r="7" spans="1:10" ht="15" thickBot="1">
      <c r="A7" s="17">
        <v>45566</v>
      </c>
      <c r="B7" s="17">
        <v>45596</v>
      </c>
      <c r="C7" s="18">
        <v>80</v>
      </c>
      <c r="D7" s="18">
        <v>100</v>
      </c>
      <c r="E7" s="18">
        <v>141</v>
      </c>
      <c r="F7" s="18">
        <v>87</v>
      </c>
      <c r="G7" s="18">
        <v>114</v>
      </c>
      <c r="H7" s="19">
        <v>162</v>
      </c>
      <c r="I7">
        <f t="shared" si="0"/>
        <v>125</v>
      </c>
      <c r="J7">
        <f t="shared" si="1"/>
        <v>75</v>
      </c>
    </row>
    <row r="8" spans="1:10" ht="15" thickTop="1">
      <c r="A8" s="14">
        <v>45597</v>
      </c>
      <c r="B8" s="14">
        <v>45611</v>
      </c>
      <c r="C8" s="15">
        <v>78</v>
      </c>
      <c r="D8" s="15">
        <f>49*2</f>
        <v>98</v>
      </c>
      <c r="E8" s="15">
        <f>46*3</f>
        <v>138</v>
      </c>
      <c r="F8" s="15">
        <f>+C8+7</f>
        <v>85</v>
      </c>
      <c r="G8" s="15">
        <f>+D8+14</f>
        <v>112</v>
      </c>
      <c r="H8" s="16">
        <f>+E8+21</f>
        <v>159</v>
      </c>
      <c r="I8">
        <f>+(D8/2)*2.5</f>
        <v>122.5</v>
      </c>
      <c r="J8">
        <f>+(D8/2)*1.5</f>
        <v>73.5</v>
      </c>
    </row>
    <row r="9" spans="1:10" ht="14.25">
      <c r="A9" s="17">
        <v>45612</v>
      </c>
      <c r="B9" s="17">
        <v>45649</v>
      </c>
      <c r="C9" s="18">
        <v>58</v>
      </c>
      <c r="D9" s="18">
        <f>36*2</f>
        <v>72</v>
      </c>
      <c r="E9" s="18">
        <f>33*3</f>
        <v>99</v>
      </c>
      <c r="F9" s="24">
        <f t="shared" ref="F9:F14" si="2">+C9+7</f>
        <v>65</v>
      </c>
      <c r="G9" s="18">
        <f>+D9+14</f>
        <v>86</v>
      </c>
      <c r="H9" s="19">
        <f>+E9+21</f>
        <v>120</v>
      </c>
      <c r="I9">
        <f t="shared" ref="I9:I13" si="3">+(D9/2)*2.5</f>
        <v>90</v>
      </c>
      <c r="J9">
        <f t="shared" ref="J9:J13" si="4">+(D9/2)*1.5</f>
        <v>54</v>
      </c>
    </row>
    <row r="10" spans="1:10" ht="14.25">
      <c r="A10" s="17">
        <v>45650</v>
      </c>
      <c r="B10" s="17">
        <v>45667</v>
      </c>
      <c r="C10" s="18">
        <v>82</v>
      </c>
      <c r="D10" s="18">
        <f>51*2</f>
        <v>102</v>
      </c>
      <c r="E10" s="18">
        <f>48*3</f>
        <v>144</v>
      </c>
      <c r="F10" s="18">
        <f t="shared" si="2"/>
        <v>89</v>
      </c>
      <c r="G10" s="18">
        <f t="shared" ref="G10:G14" si="5">+D10+14</f>
        <v>116</v>
      </c>
      <c r="H10" s="19">
        <f t="shared" ref="H10:H14" si="6">+E10+21</f>
        <v>165</v>
      </c>
      <c r="I10">
        <f t="shared" si="3"/>
        <v>127.5</v>
      </c>
      <c r="J10">
        <f t="shared" si="4"/>
        <v>76.5</v>
      </c>
    </row>
    <row r="11" spans="1:10" ht="14.25">
      <c r="A11" s="17">
        <v>45668</v>
      </c>
      <c r="B11" s="17">
        <v>45716</v>
      </c>
      <c r="C11" s="18">
        <v>50</v>
      </c>
      <c r="D11" s="18">
        <f>31*2</f>
        <v>62</v>
      </c>
      <c r="E11" s="18">
        <f>28*3</f>
        <v>84</v>
      </c>
      <c r="F11" s="18">
        <f t="shared" si="2"/>
        <v>57</v>
      </c>
      <c r="G11" s="18">
        <f t="shared" si="5"/>
        <v>76</v>
      </c>
      <c r="H11" s="19">
        <f t="shared" si="6"/>
        <v>105</v>
      </c>
      <c r="I11">
        <f t="shared" si="3"/>
        <v>77.5</v>
      </c>
      <c r="J11">
        <f t="shared" si="4"/>
        <v>46.5</v>
      </c>
    </row>
    <row r="12" spans="1:10" ht="14.25">
      <c r="A12" s="17">
        <v>45717</v>
      </c>
      <c r="B12" s="17">
        <v>45739</v>
      </c>
      <c r="C12" s="18">
        <v>58</v>
      </c>
      <c r="D12" s="18">
        <f>36*2</f>
        <v>72</v>
      </c>
      <c r="E12" s="18">
        <v>99</v>
      </c>
      <c r="F12" s="18">
        <f t="shared" si="2"/>
        <v>65</v>
      </c>
      <c r="G12" s="18">
        <f t="shared" si="5"/>
        <v>86</v>
      </c>
      <c r="H12" s="19">
        <f t="shared" si="6"/>
        <v>120</v>
      </c>
      <c r="I12">
        <f t="shared" si="3"/>
        <v>90</v>
      </c>
      <c r="J12">
        <f t="shared" si="4"/>
        <v>54</v>
      </c>
    </row>
    <row r="13" spans="1:10" ht="14.25">
      <c r="A13" s="17">
        <v>45740</v>
      </c>
      <c r="B13" s="17">
        <v>45755</v>
      </c>
      <c r="C13" s="18">
        <v>62</v>
      </c>
      <c r="D13" s="18">
        <f>39*2</f>
        <v>78</v>
      </c>
      <c r="E13" s="18">
        <f>36*3</f>
        <v>108</v>
      </c>
      <c r="F13" s="18">
        <f t="shared" si="2"/>
        <v>69</v>
      </c>
      <c r="G13" s="18">
        <f t="shared" si="5"/>
        <v>92</v>
      </c>
      <c r="H13" s="19">
        <f t="shared" si="6"/>
        <v>129</v>
      </c>
      <c r="I13">
        <f t="shared" si="3"/>
        <v>97.5</v>
      </c>
      <c r="J13">
        <f t="shared" si="4"/>
        <v>58.5</v>
      </c>
    </row>
    <row r="14" spans="1:10" ht="14.25">
      <c r="A14" s="17">
        <v>45756</v>
      </c>
      <c r="B14" s="17">
        <v>45777</v>
      </c>
      <c r="C14" s="18">
        <v>74</v>
      </c>
      <c r="D14" s="18">
        <f>43*2</f>
        <v>86</v>
      </c>
      <c r="E14" s="18">
        <f>43*3</f>
        <v>129</v>
      </c>
      <c r="F14" s="18">
        <f t="shared" si="2"/>
        <v>81</v>
      </c>
      <c r="G14" s="18">
        <f t="shared" si="5"/>
        <v>100</v>
      </c>
      <c r="H14" s="19">
        <f t="shared" si="6"/>
        <v>150</v>
      </c>
      <c r="I14">
        <f t="shared" ref="I14" si="7">+(D14/2)*2.5</f>
        <v>107.5</v>
      </c>
      <c r="J14">
        <f t="shared" ref="J14" si="8">+(D14/2)*1.5</f>
        <v>64.5</v>
      </c>
    </row>
    <row r="56" spans="5:5">
      <c r="E56" s="25">
        <v>41472</v>
      </c>
    </row>
    <row r="57" spans="5:5">
      <c r="E57">
        <f>31/10/2024</f>
        <v>1.5316205533596838E-3</v>
      </c>
    </row>
  </sheetData>
  <dataValidations count="3">
    <dataValidation type="list" allowBlank="1" showInputMessage="1" showErrorMessage="1" sqref="I1">
      <formula1>'[2]rate code'!$A$1:$A$15</formula1>
    </dataValidation>
    <dataValidation type="list" allowBlank="1" showInputMessage="1" showErrorMessage="1" sqref="C1:E1">
      <formula1>'[3]ROOM TYPE'!$A$1:$A$24</formula1>
    </dataValidation>
    <dataValidation type="list" allowBlank="1" showInputMessage="1" showErrorMessage="1" sqref="G1:H1">
      <formula1>'[4]ROOM TYPE'!$A$1:$A$24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5"/>
  <sheetViews>
    <sheetView workbookViewId="0">
      <selection activeCell="G1" sqref="G1"/>
    </sheetView>
  </sheetViews>
  <sheetFormatPr defaultRowHeight="12.75"/>
  <cols>
    <col min="1" max="1" width="11.28515625" bestFit="1" customWidth="1"/>
    <col min="2" max="2" width="13.5703125" bestFit="1" customWidth="1"/>
    <col min="3" max="8" width="15.7109375" customWidth="1"/>
    <col min="9" max="9" width="20" bestFit="1" customWidth="1"/>
  </cols>
  <sheetData>
    <row r="1" spans="1:10" ht="16.5" thickTop="1">
      <c r="A1" s="9" t="s">
        <v>5</v>
      </c>
      <c r="B1" s="10" t="s">
        <v>6</v>
      </c>
      <c r="C1" s="26" t="s">
        <v>17</v>
      </c>
      <c r="D1" s="26" t="s">
        <v>15</v>
      </c>
      <c r="E1" s="26" t="s">
        <v>16</v>
      </c>
      <c r="F1" s="13" t="s">
        <v>11</v>
      </c>
      <c r="G1" s="26" t="s">
        <v>18</v>
      </c>
      <c r="H1" s="26" t="s">
        <v>14</v>
      </c>
      <c r="I1" s="22" t="s">
        <v>13</v>
      </c>
      <c r="J1" s="22" t="s">
        <v>12</v>
      </c>
    </row>
    <row r="2" spans="1:10" ht="14.25">
      <c r="A2" s="7">
        <v>45487</v>
      </c>
      <c r="B2" s="7">
        <v>45504</v>
      </c>
      <c r="C2" s="4">
        <v>59</v>
      </c>
      <c r="D2" s="4">
        <v>74</v>
      </c>
      <c r="E2" s="4">
        <v>102</v>
      </c>
      <c r="F2" s="5">
        <v>66</v>
      </c>
      <c r="G2" s="6">
        <f>+D2+14</f>
        <v>88</v>
      </c>
      <c r="H2" s="8">
        <v>123</v>
      </c>
      <c r="I2">
        <f>+D2/2*2.5</f>
        <v>92.5</v>
      </c>
      <c r="J2">
        <f>+(D2/2)*1.5</f>
        <v>55.5</v>
      </c>
    </row>
    <row r="3" spans="1:10" ht="14.25">
      <c r="A3" s="7">
        <v>45505</v>
      </c>
      <c r="B3" s="7">
        <v>45535</v>
      </c>
      <c r="C3" s="4">
        <v>51</v>
      </c>
      <c r="D3" s="4">
        <v>64</v>
      </c>
      <c r="E3" s="4">
        <v>87</v>
      </c>
      <c r="F3" s="5">
        <f>+C3+7</f>
        <v>58</v>
      </c>
      <c r="G3" s="6">
        <f t="shared" ref="G3:G5" si="0">+D3+14</f>
        <v>78</v>
      </c>
      <c r="H3" s="8">
        <v>81</v>
      </c>
      <c r="I3">
        <f t="shared" ref="I3:I5" si="1">+D3/2*2.5</f>
        <v>80</v>
      </c>
      <c r="J3">
        <f>+(D3/2)*1.5</f>
        <v>48</v>
      </c>
    </row>
    <row r="4" spans="1:10" ht="14.25">
      <c r="A4" s="7">
        <v>45536</v>
      </c>
      <c r="B4" s="7">
        <v>45565</v>
      </c>
      <c r="C4" s="4">
        <v>53</v>
      </c>
      <c r="D4" s="4">
        <v>66</v>
      </c>
      <c r="E4" s="4">
        <v>90</v>
      </c>
      <c r="F4" s="5">
        <f t="shared" ref="F4:F5" si="2">+C4+7</f>
        <v>60</v>
      </c>
      <c r="G4" s="6">
        <f t="shared" si="0"/>
        <v>80</v>
      </c>
      <c r="H4" s="8">
        <v>75</v>
      </c>
      <c r="I4">
        <f t="shared" si="1"/>
        <v>82.5</v>
      </c>
      <c r="J4">
        <f>+(D4/2)*1.5</f>
        <v>49.5</v>
      </c>
    </row>
    <row r="5" spans="1:10" ht="15" thickBot="1">
      <c r="A5" s="7">
        <v>45566</v>
      </c>
      <c r="B5" s="7">
        <v>45596</v>
      </c>
      <c r="C5" s="4">
        <v>59</v>
      </c>
      <c r="D5" s="4">
        <v>74</v>
      </c>
      <c r="E5" s="4">
        <v>102</v>
      </c>
      <c r="F5" s="5">
        <f t="shared" si="2"/>
        <v>66</v>
      </c>
      <c r="G5" s="6">
        <f t="shared" si="0"/>
        <v>88</v>
      </c>
      <c r="H5" s="8">
        <v>75</v>
      </c>
      <c r="I5">
        <f t="shared" si="1"/>
        <v>92.5</v>
      </c>
      <c r="J5">
        <f>+(D5/2)*1.5</f>
        <v>55.5</v>
      </c>
    </row>
    <row r="6" spans="1:10" ht="15" thickTop="1">
      <c r="A6" s="14">
        <v>45597</v>
      </c>
      <c r="B6" s="14">
        <v>45611</v>
      </c>
      <c r="C6" s="15">
        <v>78</v>
      </c>
      <c r="D6" s="15">
        <f>49*2</f>
        <v>98</v>
      </c>
      <c r="E6" s="15">
        <f>46*3</f>
        <v>138</v>
      </c>
      <c r="F6" s="15">
        <f>+C6+7</f>
        <v>85</v>
      </c>
      <c r="G6" s="15">
        <f>+D6+14</f>
        <v>112</v>
      </c>
      <c r="H6" s="16">
        <f>+E6+21</f>
        <v>159</v>
      </c>
      <c r="I6">
        <f>+(D6/2)*2.5</f>
        <v>122.5</v>
      </c>
      <c r="J6">
        <f>+(D6/2)*1.5</f>
        <v>73.5</v>
      </c>
    </row>
    <row r="7" spans="1:10" ht="14.25">
      <c r="A7" s="17">
        <v>45612</v>
      </c>
      <c r="B7" s="17">
        <v>45649</v>
      </c>
      <c r="C7" s="18">
        <v>58</v>
      </c>
      <c r="D7" s="18">
        <f>36*2</f>
        <v>72</v>
      </c>
      <c r="E7" s="18">
        <f>33*3</f>
        <v>99</v>
      </c>
      <c r="F7" s="24">
        <f t="shared" ref="F7:F12" si="3">+C7+7</f>
        <v>65</v>
      </c>
      <c r="G7" s="18">
        <f>+D7+14</f>
        <v>86</v>
      </c>
      <c r="H7" s="19">
        <f>+E7+21</f>
        <v>120</v>
      </c>
      <c r="I7">
        <f t="shared" ref="I7:I12" si="4">+(D7/2)*2.5</f>
        <v>90</v>
      </c>
      <c r="J7">
        <f t="shared" ref="J7:J12" si="5">+(D7/2)*1.5</f>
        <v>54</v>
      </c>
    </row>
    <row r="8" spans="1:10" ht="14.25">
      <c r="A8" s="17">
        <v>45650</v>
      </c>
      <c r="B8" s="17">
        <v>45667</v>
      </c>
      <c r="C8" s="18">
        <v>82</v>
      </c>
      <c r="D8" s="18">
        <f>51*2</f>
        <v>102</v>
      </c>
      <c r="E8" s="18">
        <f>48*3</f>
        <v>144</v>
      </c>
      <c r="F8" s="18">
        <f t="shared" si="3"/>
        <v>89</v>
      </c>
      <c r="G8" s="18">
        <f t="shared" ref="G8:G12" si="6">+D8+14</f>
        <v>116</v>
      </c>
      <c r="H8" s="19">
        <f t="shared" ref="H8:H12" si="7">+E8+21</f>
        <v>165</v>
      </c>
      <c r="I8">
        <f t="shared" si="4"/>
        <v>127.5</v>
      </c>
      <c r="J8">
        <f t="shared" si="5"/>
        <v>76.5</v>
      </c>
    </row>
    <row r="9" spans="1:10" ht="14.25">
      <c r="A9" s="17">
        <v>45668</v>
      </c>
      <c r="B9" s="17">
        <v>45716</v>
      </c>
      <c r="C9" s="18">
        <v>50</v>
      </c>
      <c r="D9" s="18">
        <f>31*2</f>
        <v>62</v>
      </c>
      <c r="E9" s="18">
        <f>28*3</f>
        <v>84</v>
      </c>
      <c r="F9" s="18">
        <f t="shared" si="3"/>
        <v>57</v>
      </c>
      <c r="G9" s="18">
        <f t="shared" si="6"/>
        <v>76</v>
      </c>
      <c r="H9" s="19">
        <f t="shared" si="7"/>
        <v>105</v>
      </c>
      <c r="I9">
        <f t="shared" si="4"/>
        <v>77.5</v>
      </c>
      <c r="J9">
        <f t="shared" si="5"/>
        <v>46.5</v>
      </c>
    </row>
    <row r="10" spans="1:10" ht="14.25">
      <c r="A10" s="17">
        <v>45717</v>
      </c>
      <c r="B10" s="17">
        <v>45739</v>
      </c>
      <c r="C10" s="18">
        <v>58</v>
      </c>
      <c r="D10" s="18">
        <f>36*2</f>
        <v>72</v>
      </c>
      <c r="E10" s="18">
        <v>99</v>
      </c>
      <c r="F10" s="18">
        <f t="shared" si="3"/>
        <v>65</v>
      </c>
      <c r="G10" s="18">
        <f t="shared" si="6"/>
        <v>86</v>
      </c>
      <c r="H10" s="19">
        <f t="shared" si="7"/>
        <v>120</v>
      </c>
      <c r="I10">
        <f t="shared" si="4"/>
        <v>90</v>
      </c>
      <c r="J10">
        <f t="shared" si="5"/>
        <v>54</v>
      </c>
    </row>
    <row r="11" spans="1:10" ht="14.25">
      <c r="A11" s="17">
        <v>45740</v>
      </c>
      <c r="B11" s="17">
        <v>45755</v>
      </c>
      <c r="C11" s="18">
        <v>62</v>
      </c>
      <c r="D11" s="18">
        <f>39*2</f>
        <v>78</v>
      </c>
      <c r="E11" s="18">
        <f>36*3</f>
        <v>108</v>
      </c>
      <c r="F11" s="18">
        <f t="shared" si="3"/>
        <v>69</v>
      </c>
      <c r="G11" s="18">
        <f t="shared" si="6"/>
        <v>92</v>
      </c>
      <c r="H11" s="19">
        <f t="shared" si="7"/>
        <v>129</v>
      </c>
      <c r="I11">
        <f t="shared" si="4"/>
        <v>97.5</v>
      </c>
      <c r="J11">
        <f t="shared" si="5"/>
        <v>58.5</v>
      </c>
    </row>
    <row r="12" spans="1:10" ht="14.25">
      <c r="A12" s="17">
        <v>45756</v>
      </c>
      <c r="B12" s="17">
        <v>45777</v>
      </c>
      <c r="C12" s="18">
        <v>74</v>
      </c>
      <c r="D12" s="18">
        <f>43*2</f>
        <v>86</v>
      </c>
      <c r="E12" s="18">
        <f>43*3</f>
        <v>129</v>
      </c>
      <c r="F12" s="18">
        <f t="shared" si="3"/>
        <v>81</v>
      </c>
      <c r="G12" s="18">
        <f t="shared" si="6"/>
        <v>100</v>
      </c>
      <c r="H12" s="19">
        <f t="shared" si="7"/>
        <v>150</v>
      </c>
      <c r="I12">
        <f t="shared" si="4"/>
        <v>107.5</v>
      </c>
      <c r="J12">
        <f t="shared" si="5"/>
        <v>64.5</v>
      </c>
    </row>
    <row r="15" spans="1:10">
      <c r="J15" s="23"/>
    </row>
  </sheetData>
  <dataValidations count="3">
    <dataValidation type="list" allowBlank="1" showInputMessage="1" showErrorMessage="1" sqref="I1">
      <formula1>'[2]rate code'!$A$1:$A$15</formula1>
    </dataValidation>
    <dataValidation type="list" allowBlank="1" showInputMessage="1" showErrorMessage="1" sqref="H1 C1:E1">
      <formula1>'[3]ROOM TYPE'!$A$1:$A$24</formula1>
    </dataValidation>
    <dataValidation type="list" allowBlank="1" showInputMessage="1" showErrorMessage="1" sqref="G1">
      <formula1>'[4]ROOM TYPE'!$A$1:$A$24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selection activeCell="A4" sqref="A4:XFD4"/>
    </sheetView>
  </sheetViews>
  <sheetFormatPr defaultRowHeight="12.75"/>
  <cols>
    <col min="1" max="1" width="11.28515625" bestFit="1" customWidth="1"/>
    <col min="2" max="2" width="13.5703125" bestFit="1" customWidth="1"/>
    <col min="3" max="8" width="15.7109375" customWidth="1"/>
    <col min="9" max="9" width="20" bestFit="1" customWidth="1"/>
  </cols>
  <sheetData>
    <row r="1" spans="1:10" ht="16.5" thickTop="1">
      <c r="A1" s="9" t="s">
        <v>5</v>
      </c>
      <c r="B1" s="10" t="s">
        <v>6</v>
      </c>
      <c r="C1" s="26" t="s">
        <v>17</v>
      </c>
      <c r="D1" s="26" t="s">
        <v>15</v>
      </c>
      <c r="E1" s="26" t="s">
        <v>16</v>
      </c>
      <c r="F1" s="13" t="s">
        <v>11</v>
      </c>
      <c r="G1" s="26" t="s">
        <v>18</v>
      </c>
      <c r="H1" s="26" t="s">
        <v>14</v>
      </c>
      <c r="I1" s="22" t="s">
        <v>13</v>
      </c>
      <c r="J1" s="22" t="s">
        <v>12</v>
      </c>
    </row>
    <row r="2" spans="1:10" ht="14.25">
      <c r="A2" s="7">
        <v>45577</v>
      </c>
      <c r="B2" s="7">
        <v>45596</v>
      </c>
      <c r="C2" s="4">
        <v>59</v>
      </c>
      <c r="D2" s="4">
        <v>74</v>
      </c>
      <c r="E2" s="4">
        <v>102</v>
      </c>
      <c r="F2" s="5">
        <v>66</v>
      </c>
      <c r="G2" s="6">
        <f>+D2+14</f>
        <v>88</v>
      </c>
      <c r="H2" s="8">
        <f>+E2+21</f>
        <v>123</v>
      </c>
      <c r="I2">
        <f>+D2/2*2.5</f>
        <v>92.5</v>
      </c>
      <c r="J2">
        <f>+(D2/2)*1.5</f>
        <v>55.5</v>
      </c>
    </row>
    <row r="3" spans="1:10" ht="14.25">
      <c r="A3" s="7">
        <v>45597</v>
      </c>
      <c r="B3" s="7">
        <v>45611</v>
      </c>
      <c r="C3" s="4">
        <v>61</v>
      </c>
      <c r="D3" s="4">
        <v>76</v>
      </c>
      <c r="E3" s="4">
        <v>105</v>
      </c>
      <c r="F3" s="5">
        <f>+C3+7</f>
        <v>68</v>
      </c>
      <c r="G3" s="6">
        <f t="shared" ref="G3:G5" si="0">+D3+14</f>
        <v>90</v>
      </c>
      <c r="H3" s="8">
        <f>+E3+21</f>
        <v>126</v>
      </c>
      <c r="I3">
        <f t="shared" ref="I3:I5" si="1">+D3/2*2.5</f>
        <v>95</v>
      </c>
      <c r="J3">
        <f>+(D3/2)*1.5</f>
        <v>57</v>
      </c>
    </row>
    <row r="4" spans="1:10" ht="14.25">
      <c r="A4" s="7">
        <v>45612</v>
      </c>
      <c r="B4" s="7">
        <v>45649</v>
      </c>
      <c r="C4" s="18">
        <v>58</v>
      </c>
      <c r="D4" s="18">
        <f>36*2</f>
        <v>72</v>
      </c>
      <c r="E4" s="18">
        <f>33*3</f>
        <v>99</v>
      </c>
      <c r="F4" s="5">
        <f t="shared" ref="F4" si="2">+C4+7</f>
        <v>65</v>
      </c>
      <c r="G4" s="6">
        <f t="shared" ref="G4" si="3">+D4+14</f>
        <v>86</v>
      </c>
      <c r="H4" s="8">
        <f>+E4+21</f>
        <v>120</v>
      </c>
      <c r="I4">
        <f t="shared" ref="I4" si="4">+D4/2*2.5</f>
        <v>90</v>
      </c>
      <c r="J4">
        <f>+(D4/2)*1.5</f>
        <v>54</v>
      </c>
    </row>
    <row r="5" spans="1:10" ht="14.25">
      <c r="A5" s="7">
        <v>45650</v>
      </c>
      <c r="B5" s="7">
        <v>45667</v>
      </c>
      <c r="C5" s="4">
        <v>69</v>
      </c>
      <c r="D5" s="4">
        <v>86</v>
      </c>
      <c r="E5" s="4">
        <v>120</v>
      </c>
      <c r="F5" s="5">
        <f t="shared" ref="F5" si="5">+C5+7</f>
        <v>76</v>
      </c>
      <c r="G5" s="6">
        <f t="shared" si="0"/>
        <v>100</v>
      </c>
      <c r="H5" s="8">
        <f>+E5+21</f>
        <v>141</v>
      </c>
      <c r="I5">
        <f t="shared" si="1"/>
        <v>107.5</v>
      </c>
      <c r="J5">
        <f>+(D5/2)*1.5</f>
        <v>64.5</v>
      </c>
    </row>
    <row r="8" spans="1:10">
      <c r="J8" s="23"/>
    </row>
  </sheetData>
  <dataValidations count="3">
    <dataValidation type="list" allowBlank="1" showInputMessage="1" showErrorMessage="1" sqref="I1">
      <formula1>'[2]rate code'!$A$1:$A$15</formula1>
    </dataValidation>
    <dataValidation type="list" allowBlank="1" showInputMessage="1" showErrorMessage="1" sqref="H1 C1:E1">
      <formula1>'[3]ROOM TYPE'!$A$1:$A$24</formula1>
    </dataValidation>
    <dataValidation type="list" allowBlank="1" showInputMessage="1" showErrorMessage="1" sqref="G1">
      <formula1>'[4]ROOM TYPE'!$A$1:$A$24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selection activeCell="G36" sqref="G36"/>
    </sheetView>
  </sheetViews>
  <sheetFormatPr defaultRowHeight="12.75"/>
  <cols>
    <col min="1" max="1" width="11.28515625" bestFit="1" customWidth="1"/>
    <col min="2" max="2" width="13.5703125" bestFit="1" customWidth="1"/>
    <col min="3" max="8" width="15.7109375" customWidth="1"/>
    <col min="9" max="9" width="20" bestFit="1" customWidth="1"/>
  </cols>
  <sheetData>
    <row r="1" spans="1:10" ht="16.5" thickTop="1">
      <c r="A1" s="9" t="s">
        <v>5</v>
      </c>
      <c r="B1" s="10" t="s">
        <v>6</v>
      </c>
      <c r="C1" s="26" t="s">
        <v>17</v>
      </c>
      <c r="D1" s="26" t="s">
        <v>15</v>
      </c>
      <c r="E1" s="26" t="s">
        <v>16</v>
      </c>
      <c r="F1" s="13" t="s">
        <v>11</v>
      </c>
      <c r="G1" s="26" t="s">
        <v>18</v>
      </c>
      <c r="H1" s="26" t="s">
        <v>14</v>
      </c>
      <c r="I1" s="22" t="s">
        <v>13</v>
      </c>
      <c r="J1" s="22" t="s">
        <v>12</v>
      </c>
    </row>
    <row r="2" spans="1:10" ht="14.25">
      <c r="A2" s="7">
        <v>45612</v>
      </c>
      <c r="B2" s="7">
        <v>45622</v>
      </c>
      <c r="C2" s="18">
        <v>58</v>
      </c>
      <c r="D2" s="18">
        <f>36*2</f>
        <v>72</v>
      </c>
      <c r="E2" s="18">
        <f>33*3</f>
        <v>99</v>
      </c>
      <c r="F2" s="24">
        <f t="shared" ref="F2" si="0">+C2+7</f>
        <v>65</v>
      </c>
      <c r="G2" s="18">
        <f>+D2+14</f>
        <v>86</v>
      </c>
      <c r="H2" s="19">
        <f>+E2+21</f>
        <v>120</v>
      </c>
      <c r="I2">
        <f>+(G2/2)*2.5</f>
        <v>107.5</v>
      </c>
      <c r="J2">
        <f t="shared" ref="J2" si="1">+(D2/2)*1.5</f>
        <v>54</v>
      </c>
    </row>
    <row r="3" spans="1:10" ht="14.25">
      <c r="A3" s="7">
        <v>45623</v>
      </c>
      <c r="B3" s="7">
        <v>45649</v>
      </c>
      <c r="C3" s="4">
        <v>48</v>
      </c>
      <c r="D3" s="4">
        <v>60</v>
      </c>
      <c r="E3" s="4">
        <v>81</v>
      </c>
      <c r="F3" s="5">
        <f>+C3+7</f>
        <v>55</v>
      </c>
      <c r="G3" s="18">
        <f t="shared" ref="G3:G7" si="2">+D3+14</f>
        <v>74</v>
      </c>
      <c r="H3" s="19">
        <f t="shared" ref="H3:H7" si="3">+E3+21</f>
        <v>102</v>
      </c>
      <c r="I3">
        <f t="shared" ref="I3:I7" si="4">+(G3/2)*2.5</f>
        <v>92.5</v>
      </c>
      <c r="J3">
        <f t="shared" ref="J3:J7" si="5">+(D3/2)*1.5</f>
        <v>45</v>
      </c>
    </row>
    <row r="4" spans="1:10" ht="14.25">
      <c r="A4" s="7">
        <v>45650</v>
      </c>
      <c r="B4" s="7">
        <v>45656</v>
      </c>
      <c r="C4" s="4">
        <v>61</v>
      </c>
      <c r="D4" s="4">
        <v>76</v>
      </c>
      <c r="E4" s="4">
        <v>105</v>
      </c>
      <c r="F4" s="5">
        <f t="shared" ref="F4:F7" si="6">+C4+7</f>
        <v>68</v>
      </c>
      <c r="G4" s="18">
        <f t="shared" si="2"/>
        <v>90</v>
      </c>
      <c r="H4" s="19">
        <f t="shared" si="3"/>
        <v>126</v>
      </c>
      <c r="I4">
        <f t="shared" si="4"/>
        <v>112.5</v>
      </c>
      <c r="J4">
        <f t="shared" si="5"/>
        <v>57</v>
      </c>
    </row>
    <row r="5" spans="1:10" ht="14.25">
      <c r="A5" s="7">
        <v>45657</v>
      </c>
      <c r="B5" s="7">
        <v>45657</v>
      </c>
      <c r="C5" s="4">
        <v>81</v>
      </c>
      <c r="D5" s="4">
        <f>76+40</f>
        <v>116</v>
      </c>
      <c r="E5" s="4">
        <f>105+60</f>
        <v>165</v>
      </c>
      <c r="F5" s="5">
        <f t="shared" si="6"/>
        <v>88</v>
      </c>
      <c r="G5" s="18">
        <f t="shared" si="2"/>
        <v>130</v>
      </c>
      <c r="H5" s="19">
        <f t="shared" si="3"/>
        <v>186</v>
      </c>
      <c r="I5">
        <f t="shared" si="4"/>
        <v>162.5</v>
      </c>
      <c r="J5">
        <f t="shared" si="5"/>
        <v>87</v>
      </c>
    </row>
    <row r="6" spans="1:10" ht="14.25">
      <c r="A6" s="7">
        <v>45658</v>
      </c>
      <c r="B6" s="7">
        <v>45667</v>
      </c>
      <c r="C6" s="4">
        <v>61</v>
      </c>
      <c r="D6" s="4">
        <v>76</v>
      </c>
      <c r="E6" s="4">
        <v>105</v>
      </c>
      <c r="F6" s="5">
        <f t="shared" si="6"/>
        <v>68</v>
      </c>
      <c r="G6" s="18">
        <f t="shared" si="2"/>
        <v>90</v>
      </c>
      <c r="H6" s="19">
        <f t="shared" si="3"/>
        <v>126</v>
      </c>
      <c r="I6">
        <f t="shared" si="4"/>
        <v>112.5</v>
      </c>
      <c r="J6">
        <f t="shared" si="5"/>
        <v>57</v>
      </c>
    </row>
    <row r="7" spans="1:10" ht="14.25">
      <c r="A7" s="7">
        <v>45668</v>
      </c>
      <c r="B7" s="7">
        <v>45716</v>
      </c>
      <c r="C7" s="4">
        <v>45</v>
      </c>
      <c r="D7" s="4">
        <v>56</v>
      </c>
      <c r="E7" s="4">
        <v>75</v>
      </c>
      <c r="F7" s="5">
        <f t="shared" si="6"/>
        <v>52</v>
      </c>
      <c r="G7" s="18">
        <f t="shared" si="2"/>
        <v>70</v>
      </c>
      <c r="H7" s="19">
        <f t="shared" si="3"/>
        <v>96</v>
      </c>
      <c r="I7">
        <f t="shared" si="4"/>
        <v>87.5</v>
      </c>
      <c r="J7">
        <f t="shared" si="5"/>
        <v>42</v>
      </c>
    </row>
    <row r="9" spans="1:10">
      <c r="J9" s="23"/>
    </row>
    <row r="17" spans="9:9">
      <c r="I17" s="27"/>
    </row>
  </sheetData>
  <dataValidations count="3">
    <dataValidation type="list" allowBlank="1" showInputMessage="1" showErrorMessage="1" sqref="I1">
      <formula1>'[2]rate code'!$A$1:$A$15</formula1>
    </dataValidation>
    <dataValidation type="list" allowBlank="1" showInputMessage="1" showErrorMessage="1" sqref="H1 C1:E1">
      <formula1>'[3]ROOM TYPE'!$A$1:$A$24</formula1>
    </dataValidation>
    <dataValidation type="list" allowBlank="1" showInputMessage="1" showErrorMessage="1" sqref="G1">
      <formula1>'[4]ROOM TYPE'!$A$1:$A$24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statment</vt:lpstr>
      <vt:lpstr>contract</vt:lpstr>
      <vt:lpstr>spo from 14.07 to 11.10</vt:lpstr>
      <vt:lpstr>spo from 12.10 to 15.11</vt:lpstr>
      <vt:lpstr>spo from 16.11 to 28.02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creditg</dc:creator>
  <cp:lastModifiedBy>Area-Credit2</cp:lastModifiedBy>
  <cp:lastPrinted>2022-10-27T07:02:22Z</cp:lastPrinted>
  <dcterms:created xsi:type="dcterms:W3CDTF">2016-10-13T07:40:59Z</dcterms:created>
  <dcterms:modified xsi:type="dcterms:W3CDTF">2024-12-31T08:08:08Z</dcterms:modified>
</cp:coreProperties>
</file>