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tcave\work\Credit_App\Credit_app_v3_test\test files\"/>
    </mc:Choice>
  </mc:AlternateContent>
  <xr:revisionPtr revIDLastSave="0" documentId="13_ncr:1_{5902FB2A-9411-4E9F-9F91-DB17F39246FE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statment" sheetId="6" r:id="rId1"/>
    <sheet name="contract" sheetId="40" r:id="rId2"/>
  </sheets>
  <externalReferences>
    <externalReference r:id="rId3"/>
  </externalReferences>
  <definedNames>
    <definedName name="_xlnm._FilterDatabase" localSheetId="0" hidden="1">statment!$B$1:$J$25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0" l="1"/>
  <c r="E2" i="40"/>
  <c r="C2" i="40"/>
  <c r="H25" i="6" l="1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I5" i="6"/>
  <c r="H5" i="6"/>
  <c r="H4" i="6"/>
  <c r="I3" i="6"/>
  <c r="H3" i="6"/>
  <c r="I2" i="6"/>
  <c r="H2" i="6"/>
</calcChain>
</file>

<file path=xl/sharedStrings.xml><?xml version="1.0" encoding="utf-8"?>
<sst xmlns="http://schemas.openxmlformats.org/spreadsheetml/2006/main" count="63" uniqueCount="22">
  <si>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</si>
  <si>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</si>
  <si>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</si>
  <si>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</si>
  <si>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</si>
  <si>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</si>
  <si>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</si>
  <si>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</si>
  <si>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Res_date</t>
  </si>
  <si>
    <t>Booking No.</t>
  </si>
  <si>
    <t>Invoice No.</t>
  </si>
  <si>
    <t>2025-08-21</t>
  </si>
  <si>
    <t>2025-08-23</t>
  </si>
  <si>
    <t>2025-08-27</t>
  </si>
  <si>
    <t>2025-08-28</t>
  </si>
  <si>
    <t>2025-08-29</t>
  </si>
  <si>
    <t>2025-08-30</t>
  </si>
  <si>
    <t>2025-08-31</t>
  </si>
  <si>
    <t xml:space="preserve">JSGV-DBL </t>
  </si>
  <si>
    <t xml:space="preserve">JSGV-TPL </t>
  </si>
  <si>
    <t>JSGV-DBL-CH</t>
  </si>
  <si>
    <t xml:space="preserve">JSGV-SGL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</si>
</sst>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9" formatCode="yyyy\/mm\/dd"/>
  </numFmts>
  <fonts count="11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color rgb="FF7D353B"/>
      <name val="Courier New"/>
      <family val="3"/>
    </font>
    <font>
      <sz val="12"/>
      <color indexed="8"/>
      <name val="Times New Roman"/>
      <family val="1"/>
    </font>
    <font>
      <b/>
      <sz val="11"/>
      <color theme="1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7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0" fillId="0" borderId="0" xfId="0" applyFill="1"/>
    <xf numFmtId="0" fontId="0" fillId="4" borderId="0" xfId="0" applyFill="1"/>
    <xf numFmtId="0" fontId="8" fillId="3" borderId="2" xfId="0" applyFont="1" applyFill="1" applyBorder="1" applyAlignment="1">
      <alignment horizontal="center"/>
    </xf>
    <xf numFmtId="0" fontId="9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/>
    <xf numFmtId="14" fontId="8" fillId="5" borderId="2" xfId="0" applyNumberFormat="1" applyFont="1" applyFill="1" applyBorder="1" applyAlignment="1">
      <alignment horizontal="center"/>
    </xf>
    <xf numFmtId="14" fontId="8" fillId="3" borderId="2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/>
    <xf numFmtId="14" fontId="6" fillId="0" borderId="4" xfId="0" applyNumberFormat="1" applyFont="1" applyBorder="1"/>
    <xf numFmtId="0" fontId="6" fillId="0" borderId="0" xfId="0" applyNumberFormat="1" applyFont="1" applyBorder="1"/>
    <xf numFmtId="14" fontId="8" fillId="3" borderId="2" xfId="1" applyNumberFormat="1" applyFont="1" applyFill="1" applyBorder="1" applyAlignment="1">
      <alignment horizontal="center" vertical="center"/>
    </xf>
    <xf numFmtId="3" fontId="8" fillId="0" borderId="2" xfId="1" applyNumberFormat="1" applyFont="1" applyFill="1" applyBorder="1" applyAlignment="1">
      <alignment horizontal="center"/>
    </xf>
    <xf numFmtId="164" fontId="8" fillId="0" borderId="2" xfId="1" applyFont="1" applyFill="1" applyBorder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8" fillId="3" borderId="5" xfId="0" applyNumberFormat="1" applyFont="1" applyFill="1" applyBorder="1" applyAlignment="1">
      <alignment horizontal="center"/>
    </xf>
    <xf numFmtId="0" fontId="8" fillId="3" borderId="6" xfId="0" applyNumberFormat="1" applyFont="1" applyFill="1" applyBorder="1" applyAlignment="1">
      <alignment horizontal="center"/>
    </xf>
    <xf numFmtId="0" fontId="8" fillId="6" borderId="6" xfId="0" applyNumberFormat="1" applyFont="1" applyFill="1" applyBorder="1" applyAlignment="1">
      <alignment horizontal="center"/>
    </xf>
    <xf numFmtId="0" fontId="6" fillId="0" borderId="4" xfId="0" applyNumberFormat="1" applyFont="1" applyFill="1" applyBorder="1" applyAlignment="1">
      <alignment horizontal="center"/>
    </xf>
    <xf numFmtId="169" fontId="8" fillId="3" borderId="5" xfId="1" applyNumberFormat="1" applyFont="1" applyFill="1" applyBorder="1" applyAlignment="1">
      <alignment horizontal="center"/>
    </xf>
    <xf numFmtId="169" fontId="8" fillId="3" borderId="5" xfId="0" applyNumberFormat="1" applyFont="1" applyFill="1" applyBorder="1" applyAlignment="1">
      <alignment horizontal="center"/>
    </xf>
    <xf numFmtId="169" fontId="8" fillId="3" borderId="6" xfId="1" applyNumberFormat="1" applyFont="1" applyFill="1" applyBorder="1" applyAlignment="1">
      <alignment horizontal="center"/>
    </xf>
    <xf numFmtId="169" fontId="8" fillId="3" borderId="6" xfId="0" applyNumberFormat="1" applyFont="1" applyFill="1" applyBorder="1" applyAlignment="1">
      <alignment horizontal="center"/>
    </xf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15</xdr:row>
      <xdr:rowOff>85725</xdr:rowOff>
    </xdr:from>
    <xdr:to>
      <xdr:col>17</xdr:col>
      <xdr:colOff>363408</xdr:colOff>
      <xdr:row>47</xdr:row>
      <xdr:rowOff>95975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5" y="3152775"/>
          <a:ext cx="10440858" cy="5191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tels/Siva%20Golden%20Bay/Invoices%20DEC%2024/New%20Till%2031.12/Copy%20of%20EXIM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24"/>
      <sheetName val="ROOM TYPE"/>
      <sheetName val="system"/>
      <sheetName val="Summary 1"/>
      <sheetName val="Summary 2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85" zoomScaleNormal="85" workbookViewId="0">
      <selection activeCell="E1" sqref="E1:E1048576"/>
    </sheetView>
  </sheetViews>
  <sheetFormatPr defaultRowHeight="13.2"/>
  <cols>
    <col min="1" max="1" width="20.6640625" customWidth="1"/>
    <col min="2" max="2" width="24.33203125" bestFit="1" customWidth="1"/>
    <col min="3" max="3" width="20.6640625" customWidth="1"/>
    <col min="4" max="4" width="18.44140625" customWidth="1"/>
    <col min="5" max="6" width="20.6640625" customWidth="1"/>
    <col min="7" max="7" width="24" bestFit="1" customWidth="1"/>
    <col min="8" max="10" width="20.6640625" customWidth="1"/>
  </cols>
  <sheetData>
    <row r="1" spans="1:10" ht="18.600000000000001" thickTop="1" thickBot="1">
      <c r="B1" s="3" t="s">
        <v>9</v>
      </c>
      <c r="C1" s="3" t="s">
        <v>10</v>
      </c>
      <c r="D1" s="2" t="s">
        <v>8</v>
      </c>
      <c r="E1" s="1" t="s">
        <v>1</v>
      </c>
      <c r="F1" s="1" t="s">
        <v>2</v>
      </c>
      <c r="G1" s="1" t="s">
        <v>3</v>
      </c>
      <c r="H1" s="3" t="s">
        <v>0</v>
      </c>
      <c r="I1" s="3" t="s">
        <v>7</v>
      </c>
      <c r="J1" s="1" t="s">
        <v>4</v>
      </c>
    </row>
    <row r="2" spans="1:10" s="5" customFormat="1" ht="16.8" thickTop="1" thickBot="1">
      <c r="A2" s="4"/>
      <c r="B2" s="19">
        <v>192068198</v>
      </c>
      <c r="C2" s="7">
        <v>17177</v>
      </c>
      <c r="D2" s="15"/>
      <c r="E2" s="23">
        <v>45889</v>
      </c>
      <c r="F2" s="24" t="s">
        <v>11</v>
      </c>
      <c r="G2" s="11" t="s">
        <v>18</v>
      </c>
      <c r="H2" s="16">
        <f>+F2-E2</f>
        <v>1</v>
      </c>
      <c r="I2" s="17">
        <f>28*2</f>
        <v>56</v>
      </c>
      <c r="J2" s="18">
        <v>80</v>
      </c>
    </row>
    <row r="3" spans="1:10" s="5" customFormat="1" ht="16.8" thickTop="1" thickBot="1">
      <c r="A3" s="4"/>
      <c r="B3" s="20">
        <v>192068198</v>
      </c>
      <c r="C3" s="7">
        <v>17178</v>
      </c>
      <c r="D3" s="15"/>
      <c r="E3" s="25">
        <v>45889</v>
      </c>
      <c r="F3" s="26" t="s">
        <v>11</v>
      </c>
      <c r="G3" s="11" t="s">
        <v>19</v>
      </c>
      <c r="H3" s="16">
        <f>+F3-E3</f>
        <v>1</v>
      </c>
      <c r="I3" s="17">
        <f>28*2</f>
        <v>56</v>
      </c>
      <c r="J3" s="18">
        <v>114</v>
      </c>
    </row>
    <row r="4" spans="1:10" ht="16.8" thickTop="1" thickBot="1">
      <c r="B4" s="20">
        <v>192063030</v>
      </c>
      <c r="C4" s="7">
        <v>17179</v>
      </c>
      <c r="D4" s="15"/>
      <c r="E4" s="25">
        <v>45891</v>
      </c>
      <c r="F4" s="26" t="s">
        <v>12</v>
      </c>
      <c r="G4" s="11" t="s">
        <v>18</v>
      </c>
      <c r="H4" s="16">
        <f>+F4-E4</f>
        <v>1</v>
      </c>
      <c r="I4" s="17">
        <v>56</v>
      </c>
      <c r="J4" s="18">
        <v>80</v>
      </c>
    </row>
    <row r="5" spans="1:10" s="6" customFormat="1" ht="16.8" thickTop="1" thickBot="1">
      <c r="B5" s="21">
        <v>192084654</v>
      </c>
      <c r="C5" s="7">
        <v>17180</v>
      </c>
      <c r="D5" s="15"/>
      <c r="E5" s="25">
        <v>45889</v>
      </c>
      <c r="F5" s="26" t="s">
        <v>13</v>
      </c>
      <c r="G5" s="11" t="s">
        <v>19</v>
      </c>
      <c r="H5" s="16">
        <f>+F5-E5</f>
        <v>7</v>
      </c>
      <c r="I5" s="17">
        <f>56+14</f>
        <v>70</v>
      </c>
      <c r="J5" s="18">
        <v>798</v>
      </c>
    </row>
    <row r="6" spans="1:10" s="6" customFormat="1" ht="16.8" thickTop="1" thickBot="1">
      <c r="B6" s="20">
        <v>192082036</v>
      </c>
      <c r="C6" s="7">
        <v>17181</v>
      </c>
      <c r="D6" s="15"/>
      <c r="E6" s="25">
        <v>45889</v>
      </c>
      <c r="F6" s="26" t="s">
        <v>13</v>
      </c>
      <c r="G6" s="11" t="s">
        <v>20</v>
      </c>
      <c r="H6" s="16">
        <f>+F6-E6</f>
        <v>7</v>
      </c>
      <c r="I6" s="17">
        <v>70</v>
      </c>
      <c r="J6" s="18">
        <v>560</v>
      </c>
    </row>
    <row r="7" spans="1:10" s="6" customFormat="1" ht="16.8" thickTop="1" thickBot="1">
      <c r="B7" s="20">
        <v>192082038</v>
      </c>
      <c r="C7" s="7">
        <v>17182</v>
      </c>
      <c r="D7" s="15"/>
      <c r="E7" s="25">
        <v>45889</v>
      </c>
      <c r="F7" s="26" t="s">
        <v>13</v>
      </c>
      <c r="G7" s="11" t="s">
        <v>20</v>
      </c>
      <c r="H7" s="16">
        <f>+F7-E7</f>
        <v>7</v>
      </c>
      <c r="I7" s="17">
        <v>56</v>
      </c>
      <c r="J7" s="18">
        <v>560</v>
      </c>
    </row>
    <row r="8" spans="1:10" s="6" customFormat="1" ht="16.8" thickTop="1" thickBot="1">
      <c r="B8" s="20">
        <v>192086704</v>
      </c>
      <c r="C8" s="7">
        <v>17183</v>
      </c>
      <c r="D8" s="15"/>
      <c r="E8" s="25">
        <v>45889</v>
      </c>
      <c r="F8" s="26" t="s">
        <v>13</v>
      </c>
      <c r="G8" s="11" t="s">
        <v>18</v>
      </c>
      <c r="H8" s="16">
        <f>+F8-E8</f>
        <v>7</v>
      </c>
      <c r="I8" s="17">
        <v>56</v>
      </c>
      <c r="J8" s="18">
        <v>560</v>
      </c>
    </row>
    <row r="9" spans="1:10" s="6" customFormat="1" ht="16.8" thickTop="1" thickBot="1">
      <c r="B9" s="20">
        <v>192056843</v>
      </c>
      <c r="C9" s="7">
        <v>17184</v>
      </c>
      <c r="D9" s="15"/>
      <c r="E9" s="25">
        <v>45889</v>
      </c>
      <c r="F9" s="26" t="s">
        <v>13</v>
      </c>
      <c r="G9" s="11" t="s">
        <v>18</v>
      </c>
      <c r="H9" s="16">
        <f>+F9-E9</f>
        <v>7</v>
      </c>
      <c r="I9" s="17">
        <v>56</v>
      </c>
      <c r="J9" s="18">
        <v>560</v>
      </c>
    </row>
    <row r="10" spans="1:10" s="6" customFormat="1" ht="16.8" thickTop="1" thickBot="1">
      <c r="B10" s="20">
        <v>192089172</v>
      </c>
      <c r="C10" s="7">
        <v>17185</v>
      </c>
      <c r="D10" s="15"/>
      <c r="E10" s="25">
        <v>45890</v>
      </c>
      <c r="F10" s="26" t="s">
        <v>14</v>
      </c>
      <c r="G10" s="11" t="s">
        <v>20</v>
      </c>
      <c r="H10" s="16">
        <f>+F10-E10</f>
        <v>7</v>
      </c>
      <c r="I10" s="17">
        <v>56</v>
      </c>
      <c r="J10" s="18">
        <v>560</v>
      </c>
    </row>
    <row r="11" spans="1:10" s="6" customFormat="1" ht="16.8" thickTop="1" thickBot="1">
      <c r="B11" s="20">
        <v>191949266</v>
      </c>
      <c r="C11" s="7">
        <v>17186</v>
      </c>
      <c r="D11" s="15"/>
      <c r="E11" s="25">
        <v>45890</v>
      </c>
      <c r="F11" s="26" t="s">
        <v>14</v>
      </c>
      <c r="G11" s="11" t="s">
        <v>18</v>
      </c>
      <c r="H11" s="16">
        <f>+F11-E11</f>
        <v>7</v>
      </c>
      <c r="I11" s="17">
        <v>44.8</v>
      </c>
      <c r="J11" s="18">
        <v>560</v>
      </c>
    </row>
    <row r="12" spans="1:10" s="6" customFormat="1" ht="16.8" thickTop="1" thickBot="1">
      <c r="B12" s="20">
        <v>191840426</v>
      </c>
      <c r="C12" s="7">
        <v>17187</v>
      </c>
      <c r="D12" s="15"/>
      <c r="E12" s="25">
        <v>45890</v>
      </c>
      <c r="F12" s="26" t="s">
        <v>14</v>
      </c>
      <c r="G12" s="11" t="s">
        <v>18</v>
      </c>
      <c r="H12" s="16">
        <f>+F12-E12</f>
        <v>7</v>
      </c>
      <c r="I12" s="17">
        <v>44.8</v>
      </c>
      <c r="J12" s="18">
        <v>560</v>
      </c>
    </row>
    <row r="13" spans="1:10" s="6" customFormat="1" ht="16.8" thickTop="1" thickBot="1">
      <c r="B13" s="20">
        <v>191814600</v>
      </c>
      <c r="C13" s="7">
        <v>17188</v>
      </c>
      <c r="D13" s="15"/>
      <c r="E13" s="25">
        <v>45890</v>
      </c>
      <c r="F13" s="26" t="s">
        <v>14</v>
      </c>
      <c r="G13" s="11" t="s">
        <v>18</v>
      </c>
      <c r="H13" s="16">
        <f>+F13-E13</f>
        <v>7</v>
      </c>
      <c r="I13" s="17">
        <v>44.8</v>
      </c>
      <c r="J13" s="18">
        <v>560</v>
      </c>
    </row>
    <row r="14" spans="1:10" s="6" customFormat="1" ht="16.8" thickTop="1" thickBot="1">
      <c r="B14" s="20">
        <v>192073688</v>
      </c>
      <c r="C14" s="7">
        <v>17189</v>
      </c>
      <c r="D14" s="15"/>
      <c r="E14" s="25">
        <v>45890</v>
      </c>
      <c r="F14" s="26" t="s">
        <v>14</v>
      </c>
      <c r="G14" s="11" t="s">
        <v>18</v>
      </c>
      <c r="H14" s="16">
        <f>+F14-E14</f>
        <v>7</v>
      </c>
      <c r="I14" s="17">
        <v>44.8</v>
      </c>
      <c r="J14" s="18">
        <v>560</v>
      </c>
    </row>
    <row r="15" spans="1:10" s="6" customFormat="1" ht="16.8" thickTop="1" thickBot="1">
      <c r="B15" s="20">
        <v>191516494</v>
      </c>
      <c r="C15" s="7">
        <v>17190</v>
      </c>
      <c r="D15" s="15"/>
      <c r="E15" s="25">
        <v>45891</v>
      </c>
      <c r="F15" s="26" t="s">
        <v>15</v>
      </c>
      <c r="G15" s="11" t="s">
        <v>18</v>
      </c>
      <c r="H15" s="16">
        <f>+F15-E15</f>
        <v>7</v>
      </c>
      <c r="I15" s="17">
        <v>44.8</v>
      </c>
      <c r="J15" s="18">
        <v>560</v>
      </c>
    </row>
    <row r="16" spans="1:10" s="6" customFormat="1" ht="16.8" thickTop="1" thickBot="1">
      <c r="B16" s="20">
        <v>191516508</v>
      </c>
      <c r="C16" s="7">
        <v>17191</v>
      </c>
      <c r="D16" s="15"/>
      <c r="E16" s="25">
        <v>45891</v>
      </c>
      <c r="F16" s="26" t="s">
        <v>15</v>
      </c>
      <c r="G16" s="11" t="s">
        <v>18</v>
      </c>
      <c r="H16" s="16">
        <f>+F16-E16</f>
        <v>7</v>
      </c>
      <c r="I16" s="17">
        <v>44.8</v>
      </c>
      <c r="J16" s="18">
        <v>560</v>
      </c>
    </row>
    <row r="17" spans="2:10" s="6" customFormat="1" ht="16.8" thickTop="1" thickBot="1">
      <c r="B17" s="20">
        <v>192025827</v>
      </c>
      <c r="C17" s="7">
        <v>17192</v>
      </c>
      <c r="D17" s="15"/>
      <c r="E17" s="25">
        <v>45892</v>
      </c>
      <c r="F17" s="26" t="s">
        <v>16</v>
      </c>
      <c r="G17" s="11" t="s">
        <v>18</v>
      </c>
      <c r="H17" s="16">
        <f>+F17-E17</f>
        <v>7</v>
      </c>
      <c r="I17" s="17">
        <v>56</v>
      </c>
      <c r="J17" s="18">
        <v>560</v>
      </c>
    </row>
    <row r="18" spans="2:10" s="6" customFormat="1" ht="16.8" thickTop="1" thickBot="1">
      <c r="B18" s="20">
        <v>192083477</v>
      </c>
      <c r="C18" s="7">
        <v>17193</v>
      </c>
      <c r="D18" s="15"/>
      <c r="E18" s="25">
        <v>45892</v>
      </c>
      <c r="F18" s="26" t="s">
        <v>16</v>
      </c>
      <c r="G18" s="11" t="s">
        <v>20</v>
      </c>
      <c r="H18" s="16">
        <f>+F18-E18</f>
        <v>7</v>
      </c>
      <c r="I18" s="17">
        <v>44.8</v>
      </c>
      <c r="J18" s="18">
        <v>560</v>
      </c>
    </row>
    <row r="19" spans="2:10" s="6" customFormat="1" ht="16.8" thickTop="1" thickBot="1">
      <c r="B19" s="20">
        <v>191789901</v>
      </c>
      <c r="C19" s="7">
        <v>17194</v>
      </c>
      <c r="D19" s="15"/>
      <c r="E19" s="25">
        <v>45889</v>
      </c>
      <c r="F19" s="26" t="s">
        <v>16</v>
      </c>
      <c r="G19" s="11" t="s">
        <v>18</v>
      </c>
      <c r="H19" s="16">
        <f>+F19-E19</f>
        <v>10</v>
      </c>
      <c r="I19" s="17">
        <v>44.8</v>
      </c>
      <c r="J19" s="18">
        <v>800</v>
      </c>
    </row>
    <row r="20" spans="2:10" s="6" customFormat="1" ht="16.8" thickTop="1" thickBot="1">
      <c r="B20" s="20">
        <v>191607032</v>
      </c>
      <c r="C20" s="7">
        <v>17196</v>
      </c>
      <c r="D20" s="15"/>
      <c r="E20" s="25">
        <v>45892</v>
      </c>
      <c r="F20" s="26" t="s">
        <v>16</v>
      </c>
      <c r="G20" s="11" t="s">
        <v>18</v>
      </c>
      <c r="H20" s="16">
        <f>+F20-E20</f>
        <v>7</v>
      </c>
      <c r="I20" s="17">
        <v>44.8</v>
      </c>
      <c r="J20" s="18">
        <v>560</v>
      </c>
    </row>
    <row r="21" spans="2:10" ht="16.8" thickTop="1" thickBot="1">
      <c r="B21" s="20">
        <v>191789901</v>
      </c>
      <c r="C21" s="7">
        <v>17197</v>
      </c>
      <c r="D21" s="15"/>
      <c r="E21" s="25">
        <v>45889</v>
      </c>
      <c r="F21" s="26" t="s">
        <v>16</v>
      </c>
      <c r="G21" s="11" t="s">
        <v>18</v>
      </c>
      <c r="H21" s="16">
        <f>+F21-E21</f>
        <v>10</v>
      </c>
      <c r="I21" s="17">
        <v>44.8</v>
      </c>
      <c r="J21" s="18">
        <v>800</v>
      </c>
    </row>
    <row r="22" spans="2:10" ht="16.8" thickTop="1" thickBot="1">
      <c r="B22" s="20">
        <v>191789901</v>
      </c>
      <c r="C22" s="7">
        <v>17199</v>
      </c>
      <c r="D22" s="15"/>
      <c r="E22" s="25">
        <v>45889</v>
      </c>
      <c r="F22" s="26" t="s">
        <v>16</v>
      </c>
      <c r="G22" s="11" t="s">
        <v>18</v>
      </c>
      <c r="H22" s="16">
        <f>+F22-E22</f>
        <v>10</v>
      </c>
      <c r="I22" s="17">
        <v>44.8</v>
      </c>
      <c r="J22" s="18">
        <v>800</v>
      </c>
    </row>
    <row r="23" spans="2:10" ht="16.8" thickTop="1" thickBot="1">
      <c r="B23" s="20">
        <v>192035093</v>
      </c>
      <c r="C23" s="7">
        <v>17200</v>
      </c>
      <c r="D23" s="15"/>
      <c r="E23" s="25">
        <v>45889</v>
      </c>
      <c r="F23" s="26" t="s">
        <v>16</v>
      </c>
      <c r="G23" s="11" t="s">
        <v>18</v>
      </c>
      <c r="H23" s="16">
        <f>+F23-E23</f>
        <v>10</v>
      </c>
      <c r="I23" s="17">
        <v>44.8</v>
      </c>
      <c r="J23" s="18">
        <v>800</v>
      </c>
    </row>
    <row r="24" spans="2:10" ht="16.8" thickTop="1" thickBot="1">
      <c r="B24" s="20">
        <v>191825056</v>
      </c>
      <c r="C24" s="7">
        <v>17201</v>
      </c>
      <c r="D24" s="15"/>
      <c r="E24" s="25">
        <v>45892</v>
      </c>
      <c r="F24" s="26" t="s">
        <v>17</v>
      </c>
      <c r="G24" s="11" t="s">
        <v>20</v>
      </c>
      <c r="H24" s="16">
        <f>+F24-E24</f>
        <v>8</v>
      </c>
      <c r="I24" s="17">
        <v>44.8</v>
      </c>
      <c r="J24" s="18">
        <v>800</v>
      </c>
    </row>
    <row r="25" spans="2:10" ht="16.2" thickTop="1">
      <c r="B25" s="20">
        <v>733603811</v>
      </c>
      <c r="C25" s="7">
        <v>17202</v>
      </c>
      <c r="D25" s="15"/>
      <c r="E25" s="25">
        <v>45893</v>
      </c>
      <c r="F25" s="26" t="s">
        <v>17</v>
      </c>
      <c r="G25" s="11" t="s">
        <v>21</v>
      </c>
      <c r="H25" s="16">
        <f>+F25-E25</f>
        <v>7</v>
      </c>
      <c r="I25" s="17">
        <v>56</v>
      </c>
      <c r="J25" s="18">
        <v>420</v>
      </c>
    </row>
  </sheetData>
  <autoFilter ref="B1:J2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C9" sqref="C9"/>
    </sheetView>
  </sheetViews>
  <sheetFormatPr defaultColWidth="9.109375" defaultRowHeight="13.2"/>
  <cols>
    <col min="1" max="1" width="12.5546875" style="12" customWidth="1"/>
    <col min="2" max="2" width="12" style="12" bestFit="1" customWidth="1"/>
    <col min="3" max="3" width="12.33203125" style="12" bestFit="1" customWidth="1"/>
    <col min="4" max="4" width="13.109375" style="12" bestFit="1" customWidth="1"/>
    <col min="5" max="5" width="15.5546875" style="12" bestFit="1" customWidth="1"/>
    <col min="6" max="6" width="11.5546875" style="12" customWidth="1"/>
    <col min="7" max="7" width="17.88671875" style="12" bestFit="1" customWidth="1"/>
    <col min="8" max="8" width="12.5546875" style="12" bestFit="1" customWidth="1"/>
    <col min="9" max="16384" width="9.109375" style="12"/>
  </cols>
  <sheetData>
    <row r="1" spans="1:8" ht="24.9" customHeight="1" thickTop="1" thickBot="1">
      <c r="A1" s="8" t="s">
        <v>5</v>
      </c>
      <c r="B1" s="9" t="s">
        <v>6</v>
      </c>
      <c r="C1" s="11" t="s">
        <v>21</v>
      </c>
      <c r="D1" s="11" t="s">
        <v>18</v>
      </c>
      <c r="E1" s="11" t="s">
        <v>20</v>
      </c>
      <c r="F1" s="11" t="s">
        <v>19</v>
      </c>
      <c r="G1" s="11"/>
      <c r="H1" s="10"/>
    </row>
    <row r="2" spans="1:8" ht="24.9" customHeight="1" thickTop="1">
      <c r="A2" s="13">
        <v>45884</v>
      </c>
      <c r="B2" s="13">
        <v>45961</v>
      </c>
      <c r="C2" s="22">
        <f>40*1.5</f>
        <v>60</v>
      </c>
      <c r="D2" s="22">
        <v>80</v>
      </c>
      <c r="E2" s="22">
        <f>40*2.5</f>
        <v>100</v>
      </c>
      <c r="F2" s="22">
        <f>+D2+((D2/2)-6)</f>
        <v>114</v>
      </c>
      <c r="G2" s="22"/>
    </row>
    <row r="3" spans="1:8" ht="13.8">
      <c r="A3" s="14"/>
      <c r="B3" s="14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'D:\Hotels\Siva Golden Bay\Invoices DEC 24\New Till 31.12\[Copy of EXIM28.xls]ROOM TYPE'!#REF!</xm:f>
          </x14:formula1>
          <xm:sqref>H1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statment</vt:lpstr>
      <vt:lpstr>contract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جوناثان ممدوح منير صبحى</cp:lastModifiedBy>
  <cp:lastPrinted>2022-10-27T07:02:22Z</cp:lastPrinted>
  <dcterms:created xsi:type="dcterms:W3CDTF">2016-10-13T07:40:59Z</dcterms:created>
  <dcterms:modified xsi:type="dcterms:W3CDTF">2025-08-29T10:07:25Z</dcterms:modified>
</cp:coreProperties>
</file>